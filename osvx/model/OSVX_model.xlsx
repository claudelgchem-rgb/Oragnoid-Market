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Market" sheetId="3" state="visible" r:id="rId3"/>
    <sheet xmlns:r="http://schemas.openxmlformats.org/officeDocument/2006/relationships" name="Scenarios" sheetId="4" state="visible" r:id="rId4"/>
    <sheet xmlns:r="http://schemas.openxmlformats.org/officeDocument/2006/relationships" name="PnL_Base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Gates" sheetId="7" state="visible" r:id="rId7"/>
    <sheet xmlns:r="http://schemas.openxmlformats.org/officeDocument/2006/relationships" name="Evidence_Inde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b val="1"/>
      <color rgb="00C00000"/>
      <sz val="12"/>
    </font>
    <font>
      <b val="1"/>
      <color rgb="00BF8F00"/>
      <sz val="12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164" fontId="0" fillId="0" borderId="0" pivotButton="0" quotePrefix="0" xfId="0"/>
    <xf numFmtId="0" fontId="2" fillId="3" borderId="0" pivotButton="0" quotePrefix="0" xfId="0"/>
    <xf numFmtId="1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OSVX 통합 재무모델 (Agent S)</t>
        </is>
      </c>
    </row>
    <row r="3">
      <c r="A3" s="2" t="inlineStr">
        <is>
          <t>작성일</t>
        </is>
      </c>
      <c r="B3" s="3" t="inlineStr">
        <is>
          <t>2026-08-11</t>
        </is>
      </c>
    </row>
    <row r="4">
      <c r="A4" s="2" t="inlineStr">
        <is>
          <t>작성자</t>
        </is>
      </c>
      <c r="B4" s="3" t="inlineStr">
        <is>
          <t>Agent S — 통합 재무모델 &amp; Go/No-Go 판정</t>
        </is>
      </c>
    </row>
    <row r="5">
      <c r="A5" s="2" t="inlineStr">
        <is>
          <t>대상 사업</t>
        </is>
      </c>
      <c r="B5" s="3" t="inlineStr">
        <is>
          <t>LG화학 재조합 콜라겐(single+triple) + mTG 가교 Defined Organoid Matrix</t>
        </is>
      </c>
    </row>
    <row r="6">
      <c r="A6" s="2" t="inlineStr">
        <is>
          <t>통화 / 단위</t>
        </is>
      </c>
      <c r="B6" s="3" t="inlineStr">
        <is>
          <t>전 금액 USD. 물량은 **판매(sellable) L** 기준 — 생산 L = 판매 L / 0.836 (Agent V V-03 단위 통일)</t>
        </is>
      </c>
    </row>
    <row r="7">
      <c r="A7" s="2" t="inlineStr">
        <is>
          <t>환율</t>
        </is>
      </c>
      <c r="B7" s="3" t="inlineStr">
        <is>
          <t>KRW 1,409.94 / USD, CNY 6.7474 / USD, JPY 157.54 / USD — Agent C [E-146] 단일 소스 승계</t>
        </is>
      </c>
    </row>
    <row r="8">
      <c r="A8" s="2" t="inlineStr">
        <is>
          <t>할인율(WACC)</t>
        </is>
      </c>
      <c r="B8" s="3" t="inlineStr">
        <is>
          <t>8.66%  = 자기자본 0.886×Ke 9.25% + 타인자본 0.114×Kd(세후) 4.06%  (Rf 4.30% [E-800] / 한국 ERP 4.87% [E-801] / 무차입베타 0.93 [E-804] / 법인세 27.5% [E-805])</t>
        </is>
      </c>
    </row>
    <row r="9">
      <c r="A9" s="2" t="inlineStr">
        <is>
          <t>원가 함수</t>
        </is>
      </c>
      <c r="B9" s="3" t="inlineStr">
        <is>
          <t>COGS(판매 mL) = 규모티어 고정비 ÷ (생산 L × 1000 × 0.836) + 티어 변동비.  Agent E `cogs_model.py` 티어 파라미터 복제 (검증 완료)</t>
        </is>
      </c>
    </row>
    <row r="10">
      <c r="A10" s="2" t="inlineStr">
        <is>
          <t>침투율</t>
        </is>
      </c>
      <c r="B10" s="3" t="inlineStr">
        <is>
          <t>로지스틱 S-curve P(t) = L / (1 + exp(−k(t−t0))).  L·k·t0 를 Agent D 의 switch_propensity·half_life 에서 유도. **선형 점유율 가정 없음**</t>
        </is>
      </c>
    </row>
    <row r="11">
      <c r="A11" s="2" t="inlineStr">
        <is>
          <t>시나리오</t>
        </is>
      </c>
      <c r="B11" s="3" t="inlineStr">
        <is>
          <t>Bear / Base / Bull. 확률 가중 0.55 / 0.33 / 0.12 (Agent X §15.2 P(성공)=0.12 에서 유도)</t>
        </is>
      </c>
    </row>
    <row r="12">
      <c r="A12" s="2" t="inlineStr">
        <is>
          <t>스코프</t>
        </is>
      </c>
      <c r="B12" s="3" t="inlineStr">
        <is>
          <t>A = 현 제품정의(오가노이드 매트릭스 단품) / B = 대안 스코프 옵션(b) 제품정의 확장(+비오가노이드 3D +콜라겐·젤라틴 바이오잉크)</t>
        </is>
      </c>
    </row>
    <row r="13">
      <c r="A13" s="2" t="inlineStr">
        <is>
          <t>반영 감사</t>
        </is>
      </c>
      <c r="B13" s="3" t="inlineStr">
        <is>
          <t>Agent V V-01~V-26 (심각도 상 10건 전건) / Agent R 근거품질 FAIL 2항목 + 유통마진 69.0% 정정 / Agent X H1~H12·KC-1~KC-5</t>
        </is>
      </c>
    </row>
    <row r="14">
      <c r="A14" s="2" t="inlineStr">
        <is>
          <t>주의 (Agent R)</t>
        </is>
      </c>
      <c r="B14" s="3" t="inlineStr">
        <is>
          <t>① 시장규모 근거품질 FAIL (T1 39.4%) ③ COGS·GM 근거품질 FAIL (T1 37.1%). 두 축의 수치는 방향성 지표로만 사용하고 단정 서술을 피할 것</t>
        </is>
      </c>
    </row>
    <row r="15">
      <c r="A15" s="2" t="inlineStr">
        <is>
          <t>주의 (순환논증 제거)</t>
        </is>
      </c>
      <c r="B15" s="3" t="inlineStr">
        <is>
          <t>Agent E 의 설계물량 500 L/년은 DECISION_GATE 목표치 15 M USD 역산값이었다(V-02). 본 모델은 이를 폐기하고 물량을 수요 S-curve 에서만 생성한다</t>
        </is>
      </c>
    </row>
    <row r="16">
      <c r="A16" s="2" t="inlineStr">
        <is>
          <t>시트 구성</t>
        </is>
      </c>
      <c r="B16" s="3" t="inlineStr">
        <is>
          <t>README / Inputs / Market / Scenarios / PnL_Base / Sensitivity / Gates / Evidence_Index (8시트)</t>
        </is>
      </c>
    </row>
    <row r="17">
      <c r="A17" s="2" t="inlineStr">
        <is>
          <t>수식 정책</t>
        </is>
      </c>
      <c r="B17" s="3" t="inlineStr">
        <is>
          <t>Scenarios·PnL_Base·Sensitivity·Gates 의 파생 셀은 Inputs 를 참조하는 엑셀 수식이다. 값을 바꾸면 표가 다시 계산된다</t>
        </is>
      </c>
    </row>
    <row r="18">
      <c r="A18" s="2" t="inlineStr">
        <is>
          <t>연계 산출물</t>
        </is>
      </c>
      <c r="B18" s="3" t="inlineStr">
        <is>
          <t>docs/S_synthesis.md · model/finance_model.py · data/finance_output.csv · evidence/evidence_S.jsonl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40" customWidth="1" min="3" max="3"/>
    <col width="16" customWidth="1" min="4" max="4"/>
    <col width="14" customWidth="1" min="5" max="5"/>
    <col width="26" customWidth="1" min="6" max="6"/>
    <col width="60" customWidth="1" min="7" max="7"/>
  </cols>
  <sheetData>
    <row r="1">
      <c r="A1" s="4" t="inlineStr">
        <is>
          <t>#</t>
        </is>
      </c>
      <c r="B1" s="4" t="inlineStr">
        <is>
          <t>구분</t>
        </is>
      </c>
      <c r="C1" s="4" t="inlineStr">
        <is>
          <t>파라미터</t>
        </is>
      </c>
      <c r="D1" s="4" t="inlineStr">
        <is>
          <t>값</t>
        </is>
      </c>
      <c r="E1" s="4" t="inlineStr">
        <is>
          <t>단위</t>
        </is>
      </c>
      <c r="F1" s="4" t="inlineStr">
        <is>
          <t>근거 [E-###]</t>
        </is>
      </c>
      <c r="G1" s="4" t="inlineStr">
        <is>
          <t>비고</t>
        </is>
      </c>
    </row>
    <row r="2">
      <c r="A2" t="n">
        <v>1</v>
      </c>
      <c r="B2" s="5" t="inlineStr">
        <is>
          <t>할인율</t>
        </is>
      </c>
      <c r="C2" s="5" t="inlineStr">
        <is>
          <t>무위험이자율 Rf (한국 국고채 10년)</t>
        </is>
      </c>
      <c r="D2" s="5" t="n">
        <v>0.043</v>
      </c>
      <c r="E2" s="5" t="inlineStr">
        <is>
          <t>비율</t>
        </is>
      </c>
      <c r="F2" s="5" t="inlineStr">
        <is>
          <t>[E-800]</t>
        </is>
      </c>
      <c r="G2" s="5" t="inlineStr">
        <is>
          <t>2026-08-11 실측 4.30%</t>
        </is>
      </c>
    </row>
    <row r="3">
      <c r="A3" t="n">
        <v>2</v>
      </c>
      <c r="B3" s="5" t="inlineStr">
        <is>
          <t>할인율</t>
        </is>
      </c>
      <c r="C3" s="5" t="inlineStr">
        <is>
          <t>한국 총 주식위험프리미엄 ERP</t>
        </is>
      </c>
      <c r="D3" s="5" t="n">
        <v>0.0487</v>
      </c>
      <c r="E3" s="5" t="inlineStr">
        <is>
          <t>비율</t>
        </is>
      </c>
      <c r="F3" s="5" t="inlineStr">
        <is>
          <t>[E-801]</t>
        </is>
      </c>
      <c r="G3" s="5" t="inlineStr">
        <is>
          <t>Damodaran 2026-01 (성숙시장 4.23% + 국가 0.64%)</t>
        </is>
      </c>
    </row>
    <row r="4">
      <c r="A4" t="n">
        <v>3</v>
      </c>
      <c r="B4" s="5" t="inlineStr">
        <is>
          <t>할인율</t>
        </is>
      </c>
      <c r="C4" s="5" t="inlineStr">
        <is>
          <t>무차입 베타 (산업)</t>
        </is>
      </c>
      <c r="D4" s="5" t="n">
        <v>0.93</v>
      </c>
      <c r="E4" s="5" t="inlineStr">
        <is>
          <t>배</t>
        </is>
      </c>
      <c r="F4" s="5" t="inlineStr">
        <is>
          <t>[E-804]</t>
        </is>
      </c>
      <c r="G4" s="5" t="inlineStr">
        <is>
          <t>Healthcare Products 0.83 / Drugs Biotech 1.03 평균</t>
        </is>
      </c>
    </row>
    <row r="5">
      <c r="A5" t="n">
        <v>4</v>
      </c>
      <c r="B5" s="5" t="inlineStr">
        <is>
          <t>할인율</t>
        </is>
      </c>
      <c r="C5" s="5" t="inlineStr">
        <is>
          <t>산업 D/E</t>
        </is>
      </c>
      <c r="D5" s="5" t="n">
        <v>0.129</v>
      </c>
      <c r="E5" s="5" t="inlineStr">
        <is>
          <t>비율</t>
        </is>
      </c>
      <c r="F5" s="5" t="inlineStr">
        <is>
          <t>[E-804]</t>
        </is>
      </c>
      <c r="G5" s="5" t="inlineStr">
        <is>
          <t>12.79% · 13.04% 평균</t>
        </is>
      </c>
    </row>
    <row r="6">
      <c r="A6" t="n">
        <v>5</v>
      </c>
      <c r="B6" s="5" t="inlineStr">
        <is>
          <t>할인율</t>
        </is>
      </c>
      <c r="C6" s="5" t="inlineStr">
        <is>
          <t>법인세율 (한국 최고구간+지방세)</t>
        </is>
      </c>
      <c r="D6" s="5" t="n">
        <v>0.275</v>
      </c>
      <c r="E6" s="5" t="inlineStr">
        <is>
          <t>비율</t>
        </is>
      </c>
      <c r="F6" s="5" t="inlineStr">
        <is>
          <t>[E-805]</t>
        </is>
      </c>
      <c r="G6" s="5" t="inlineStr">
        <is>
          <t>국세 25% × 1.1</t>
        </is>
      </c>
    </row>
    <row r="7">
      <c r="A7" t="n">
        <v>6</v>
      </c>
      <c r="B7" s="5" t="inlineStr">
        <is>
          <t>할인율</t>
        </is>
      </c>
      <c r="C7" s="5" t="inlineStr">
        <is>
          <t>회사채 스프레드 (LG화학 A3/BBB+)</t>
        </is>
      </c>
      <c r="D7" s="5" t="n">
        <v>0.013</v>
      </c>
      <c r="E7" s="5" t="inlineStr">
        <is>
          <t>비율</t>
        </is>
      </c>
      <c r="F7" s="5" t="inlineStr">
        <is>
          <t>[E-806]</t>
        </is>
      </c>
      <c r="G7" s="5" t="inlineStr">
        <is>
          <t>Moody's A3 / S&amp;P BBB+</t>
        </is>
      </c>
    </row>
    <row r="8">
      <c r="A8" t="n">
        <v>7</v>
      </c>
      <c r="B8" s="5" t="inlineStr">
        <is>
          <t>원가</t>
        </is>
      </c>
      <c r="C8" s="5" t="inlineStr">
        <is>
          <t>종합수율 (RUO)</t>
        </is>
      </c>
      <c r="D8" s="5" t="n">
        <v>0.836</v>
      </c>
      <c r="E8" s="5" t="inlineStr">
        <is>
          <t>비율</t>
        </is>
      </c>
      <c r="F8" s="5" t="inlineStr">
        <is>
          <t>[E_cogs §6]</t>
        </is>
      </c>
      <c r="G8" s="5" t="inlineStr">
        <is>
          <t>판매 L = 생산 L × 0.836</t>
        </is>
      </c>
    </row>
    <row r="9">
      <c r="A9" t="n">
        <v>8</v>
      </c>
      <c r="B9" s="5" t="inlineStr">
        <is>
          <t>원가</t>
        </is>
      </c>
      <c r="C9" s="5" t="inlineStr">
        <is>
          <t>티어1 고정비 (생산 1~9 L)</t>
        </is>
      </c>
      <c r="D9" s="5" t="n">
        <v>375000</v>
      </c>
      <c r="E9" s="5" t="inlineStr">
        <is>
          <t>USD/년</t>
        </is>
      </c>
      <c r="F9" s="5" t="inlineStr">
        <is>
          <t>[E-428][E-434]</t>
        </is>
      </c>
      <c r="G9" s="5" t="inlineStr">
        <is>
          <t>감가상각 35,000 포함</t>
        </is>
      </c>
    </row>
    <row r="10">
      <c r="A10" t="n">
        <v>9</v>
      </c>
      <c r="B10" s="5" t="inlineStr">
        <is>
          <t>원가</t>
        </is>
      </c>
      <c r="C10" s="5" t="inlineStr">
        <is>
          <t>티어10 고정비 (생산 10~99 L)</t>
        </is>
      </c>
      <c r="D10" s="5" t="n">
        <v>934215</v>
      </c>
      <c r="E10" s="5" t="inlineStr">
        <is>
          <t>USD/년</t>
        </is>
      </c>
      <c r="F10" s="5" t="inlineStr">
        <is>
          <t>[E-428][E-434]</t>
        </is>
      </c>
      <c r="G10" s="5" t="inlineStr">
        <is>
          <t>감가상각 154,215 포함, 5 FTE</t>
        </is>
      </c>
    </row>
    <row r="11">
      <c r="A11" t="n">
        <v>10</v>
      </c>
      <c r="B11" s="5" t="inlineStr">
        <is>
          <t>원가</t>
        </is>
      </c>
      <c r="C11" s="5" t="inlineStr">
        <is>
          <t>티어100 고정비 (생산 100~999 L)</t>
        </is>
      </c>
      <c r="D11" s="5" t="n">
        <v>1932700</v>
      </c>
      <c r="E11" s="5" t="inlineStr">
        <is>
          <t>USD/년</t>
        </is>
      </c>
      <c r="F11" s="5" t="inlineStr">
        <is>
          <t>[E-428][E-434]</t>
        </is>
      </c>
      <c r="G11" s="5" t="inlineStr">
        <is>
          <t>감가상각 342,700 포함, 11 FTE. E 의 파일럿 티어</t>
        </is>
      </c>
    </row>
    <row r="12">
      <c r="A12" t="n">
        <v>11</v>
      </c>
      <c r="B12" s="5" t="inlineStr">
        <is>
          <t>원가</t>
        </is>
      </c>
      <c r="C12" s="5" t="inlineStr">
        <is>
          <t>티어1000 고정비 (생산 ≥1000 L)</t>
        </is>
      </c>
      <c r="D12" s="5" t="n">
        <v>4082150</v>
      </c>
      <c r="E12" s="5" t="inlineStr">
        <is>
          <t>USD/년</t>
        </is>
      </c>
      <c r="F12" s="5" t="inlineStr">
        <is>
          <t>[E-428][E-434]</t>
        </is>
      </c>
      <c r="G12" s="5" t="inlineStr">
        <is>
          <t>감가상각 852,150 포함, 22 FTE</t>
        </is>
      </c>
    </row>
    <row r="13">
      <c r="A13" t="n">
        <v>12</v>
      </c>
      <c r="B13" s="5" t="inlineStr">
        <is>
          <t>원가</t>
        </is>
      </c>
      <c r="C13" s="5" t="inlineStr">
        <is>
          <t>티어100 판매 mL당 변동비</t>
        </is>
      </c>
      <c r="D13" s="5" t="n">
        <v>0.7447</v>
      </c>
      <c r="E13" s="5" t="inlineStr">
        <is>
          <t>USD/mL</t>
        </is>
      </c>
      <c r="F13" s="5" t="inlineStr">
        <is>
          <t>[E-402][E-403][E-409]</t>
        </is>
      </c>
      <c r="G13" s="5" t="inlineStr">
        <is>
          <t>원료 0.1606 + 배치 + 포장</t>
        </is>
      </c>
    </row>
    <row r="14">
      <c r="A14" t="n">
        <v>13</v>
      </c>
      <c r="B14" s="5" t="inlineStr">
        <is>
          <t>원가</t>
        </is>
      </c>
      <c r="C14" s="5" t="inlineStr">
        <is>
          <t>티어10 판매 mL당 변동비</t>
        </is>
      </c>
      <c r="D14" s="5" t="n">
        <v>2.1247</v>
      </c>
      <c r="E14" s="5" t="inlineStr">
        <is>
          <t>USD/mL</t>
        </is>
      </c>
      <c r="F14" s="5" t="inlineStr">
        <is>
          <t>[E-402][E-403][E-409]</t>
        </is>
      </c>
      <c r="G14" s="5" t="inlineStr">
        <is>
          <t>배치 5 L 로 배치원가 분산 불리</t>
        </is>
      </c>
    </row>
    <row r="15">
      <c r="A15" t="n">
        <v>14</v>
      </c>
      <c r="B15" s="5" t="inlineStr">
        <is>
          <t>가격</t>
        </is>
      </c>
      <c r="C15" s="5" t="inlineStr">
        <is>
          <t>Corning 표준 SKU 354234 실측 단가</t>
        </is>
      </c>
      <c r="D15" s="5" t="n">
        <v>30.285</v>
      </c>
      <c r="E15" s="5" t="inlineStr">
        <is>
          <t>USD/mL</t>
        </is>
      </c>
      <c r="F15" s="5" t="inlineStr">
        <is>
          <t>[E-802]</t>
        </is>
      </c>
      <c r="G15" s="5" t="inlineStr">
        <is>
          <t>302.85 USD / 10 mL, 제조사 직판 (2026-08-11 재확인)</t>
        </is>
      </c>
    </row>
    <row r="16">
      <c r="A16" t="n">
        <v>15</v>
      </c>
      <c r="B16" s="5" t="inlineStr">
        <is>
          <t>가격</t>
        </is>
      </c>
      <c r="C16" s="5" t="inlineStr">
        <is>
          <t>Corning 오가노이드 SKU 356255</t>
        </is>
      </c>
      <c r="D16" s="5" t="n">
        <v>44.76</v>
      </c>
      <c r="E16" s="5" t="inlineStr">
        <is>
          <t>USD/mL</t>
        </is>
      </c>
      <c r="F16" s="5" t="inlineStr">
        <is>
          <t>[E-812]</t>
        </is>
      </c>
      <c r="G16" s="5" t="inlineStr">
        <is>
          <t>447.60 USD / 10 mL 직판</t>
        </is>
      </c>
    </row>
    <row r="17">
      <c r="A17" t="n">
        <v>16</v>
      </c>
      <c r="B17" s="5" t="inlineStr">
        <is>
          <t>가격</t>
        </is>
      </c>
      <c r="C17" s="5" t="inlineStr">
        <is>
          <t>Corning Synthegel 354791</t>
        </is>
      </c>
      <c r="D17" s="5" t="n">
        <v>34.12</v>
      </c>
      <c r="E17" s="5" t="inlineStr">
        <is>
          <t>USD/mL</t>
        </is>
      </c>
      <c r="F17" s="5" t="inlineStr">
        <is>
          <t>[E-813]</t>
        </is>
      </c>
      <c r="G17" s="5" t="inlineStr">
        <is>
          <t>545.90 USD / 16 mL</t>
        </is>
      </c>
    </row>
    <row r="18">
      <c r="A18" t="n">
        <v>17</v>
      </c>
      <c r="B18" s="5" t="inlineStr">
        <is>
          <t>가격</t>
        </is>
      </c>
      <c r="C18" s="5" t="inlineStr">
        <is>
          <t>유통 마진 (Fisher / Corning 직판)</t>
        </is>
      </c>
      <c r="D18" s="5" t="n">
        <v>0.6899999999999999</v>
      </c>
      <c r="E18" s="5" t="inlineStr">
        <is>
          <t>비율</t>
        </is>
      </c>
      <c r="F18" s="5" t="inlineStr">
        <is>
          <t>[E-814]</t>
        </is>
      </c>
      <c r="G18" s="5" t="inlineStr">
        <is>
          <t>756.50 / 447.60 − 1. Agent R 정정 — 기존 35.9% 는 격리 [E-103]</t>
        </is>
      </c>
    </row>
    <row r="19">
      <c r="A19" t="n">
        <v>18</v>
      </c>
      <c r="B19" s="5" t="inlineStr">
        <is>
          <t>가격</t>
        </is>
      </c>
      <c r="C19" s="5" t="inlineStr">
        <is>
          <t>ASP base (신규 진입 침투가)</t>
        </is>
      </c>
      <c r="D19" s="5" t="n">
        <v>24.93</v>
      </c>
      <c r="E19" s="5" t="inlineStr">
        <is>
          <t>USD/mL</t>
        </is>
      </c>
      <c r="F19" s="5" t="inlineStr">
        <is>
          <t>[E-802][E-807]</t>
        </is>
      </c>
      <c r="G19" s="5" t="inlineStr">
        <is>
          <t>30.285 × 0.823 (G 의 17.7% 침투할인) = 24.93</t>
        </is>
      </c>
    </row>
    <row r="20">
      <c r="A20" t="n">
        <v>19</v>
      </c>
      <c r="B20" s="5" t="inlineStr">
        <is>
          <t>가격</t>
        </is>
      </c>
      <c r="C20" s="5" t="inlineStr">
        <is>
          <t>ASP bear</t>
        </is>
      </c>
      <c r="D20" s="5" t="n">
        <v>19.39</v>
      </c>
      <c r="E20" s="5" t="inlineStr">
        <is>
          <t>USD/mL</t>
        </is>
      </c>
      <c r="F20" s="5" t="inlineStr">
        <is>
          <t>[E-803]</t>
        </is>
      </c>
      <c r="G20" s="5" t="inlineStr">
        <is>
          <t>Corning 총이익 손익분기 하한 19.39</t>
        </is>
      </c>
    </row>
    <row r="21">
      <c r="A21" t="n">
        <v>20</v>
      </c>
      <c r="B21" s="5" t="inlineStr">
        <is>
          <t>가격</t>
        </is>
      </c>
      <c r="C21" s="5" t="inlineStr">
        <is>
          <t>ASP bull</t>
        </is>
      </c>
      <c r="D21" s="5" t="n">
        <v>32</v>
      </c>
      <c r="E21" s="5" t="inlineStr">
        <is>
          <t>USD/mL</t>
        </is>
      </c>
      <c r="F21" s="5" t="inlineStr">
        <is>
          <t>[E-807]</t>
        </is>
      </c>
      <c r="G21" s="5" t="inlineStr">
        <is>
          <t>Agent G 확정 정가 32.00 (표준 Matrigel 대비 +5.6% 프리미엄)</t>
        </is>
      </c>
    </row>
    <row r="22">
      <c r="A22" t="n">
        <v>21</v>
      </c>
      <c r="B22" s="5" t="inlineStr">
        <is>
          <t>가격</t>
        </is>
      </c>
      <c r="C22" s="5" t="inlineStr">
        <is>
          <t>실질단가 추세 bear/base/bull</t>
        </is>
      </c>
      <c r="D22" s="5" t="n">
        <v>-0.04</v>
      </c>
      <c r="E22" s="5" t="inlineStr">
        <is>
          <t>연율</t>
        </is>
      </c>
      <c r="F22" s="5" t="inlineStr">
        <is>
          <t>[E-125][E-130]</t>
        </is>
      </c>
      <c r="G22" s="5" t="inlineStr">
        <is>
          <t>bear −4.0% / base −2.0% / bull 0.0%</t>
        </is>
      </c>
    </row>
    <row r="23">
      <c r="A23" t="n">
        <v>22</v>
      </c>
      <c r="B23" s="5" t="inlineStr">
        <is>
          <t>수요</t>
        </is>
      </c>
      <c r="C23" s="5" t="inlineStr">
        <is>
          <t>전환확률 학술 RUO</t>
        </is>
      </c>
      <c r="D23" s="5" t="n">
        <v>0.06</v>
      </c>
      <c r="E23" s="5" t="inlineStr">
        <is>
          <t>연율</t>
        </is>
      </c>
      <c r="F23" s="5" t="inlineStr">
        <is>
          <t>[E-263]</t>
        </is>
      </c>
      <c r="G23" s="5" t="inlineStr">
        <is>
          <t>half-life 11.2년</t>
        </is>
      </c>
    </row>
    <row r="24">
      <c r="A24" t="n">
        <v>23</v>
      </c>
      <c r="B24" s="5" t="inlineStr">
        <is>
          <t>수요</t>
        </is>
      </c>
      <c r="C24" s="5" t="inlineStr">
        <is>
          <t>전환확률 제약 전임상</t>
        </is>
      </c>
      <c r="D24" s="5" t="n">
        <v>0.083</v>
      </c>
      <c r="E24" s="5" t="inlineStr">
        <is>
          <t>연율</t>
        </is>
      </c>
      <c r="F24" s="5" t="inlineStr">
        <is>
          <t>[E-263]</t>
        </is>
      </c>
      <c r="G24" s="5" t="inlineStr">
        <is>
          <t>half-life 8.0년</t>
        </is>
      </c>
    </row>
    <row r="25">
      <c r="A25" t="n">
        <v>24</v>
      </c>
      <c r="B25" s="5" t="inlineStr">
        <is>
          <t>수요</t>
        </is>
      </c>
      <c r="C25" s="5" t="inlineStr">
        <is>
          <t>전환확률 CRO·바이오뱅크</t>
        </is>
      </c>
      <c r="D25" s="5" t="n">
        <v>0.027</v>
      </c>
      <c r="E25" s="5" t="inlineStr">
        <is>
          <t>연율</t>
        </is>
      </c>
      <c r="F25" s="5" t="inlineStr">
        <is>
          <t>[E-263]</t>
        </is>
      </c>
      <c r="G25" s="5" t="inlineStr">
        <is>
          <t>half-life 25.3년</t>
        </is>
      </c>
    </row>
    <row r="26">
      <c r="A26" t="n">
        <v>25</v>
      </c>
      <c r="B26" s="5" t="inlineStr">
        <is>
          <t>수요</t>
        </is>
      </c>
      <c r="C26" s="5" t="inlineStr">
        <is>
          <t>전환확률 임상진단 PDO</t>
        </is>
      </c>
      <c r="D26" s="5" t="n">
        <v>0.032</v>
      </c>
      <c r="E26" s="5" t="inlineStr">
        <is>
          <t>연율</t>
        </is>
      </c>
      <c r="F26" s="5" t="inlineStr">
        <is>
          <t>[E-263]</t>
        </is>
      </c>
      <c r="G26" s="5" t="inlineStr">
        <is>
          <t>half-life 21.3년</t>
        </is>
      </c>
    </row>
    <row r="27">
      <c r="A27" t="n">
        <v>26</v>
      </c>
      <c r="B27" s="5" t="inlineStr">
        <is>
          <t>수요</t>
        </is>
      </c>
      <c r="C27" s="5" t="inlineStr">
        <is>
          <t>전환확률 재생의료 GMP</t>
        </is>
      </c>
      <c r="D27" s="5" t="n">
        <v>0.25</v>
      </c>
      <c r="E27" s="5" t="inlineStr">
        <is>
          <t>연율</t>
        </is>
      </c>
      <c r="F27" s="5" t="inlineStr">
        <is>
          <t>[E-263]</t>
        </is>
      </c>
      <c r="G27" s="5" t="inlineStr">
        <is>
          <t>half-life 2.4년, Matrigel 사용 불가 → 강제 전환</t>
        </is>
      </c>
    </row>
    <row r="28">
      <c r="A28" t="n">
        <v>27</v>
      </c>
      <c r="B28" s="5" t="inlineStr">
        <is>
          <t>수요</t>
        </is>
      </c>
      <c r="C28" s="5" t="inlineStr">
        <is>
          <t>S-curve 천장 L (비GMP)</t>
        </is>
      </c>
      <c r="D28" s="5" t="n">
        <v>0.6363636363636362</v>
      </c>
      <c r="E28" s="5" t="inlineStr">
        <is>
          <t>비율</t>
        </is>
      </c>
      <c r="F28" s="5" t="inlineStr">
        <is>
          <t>[E-239][A-A20]</t>
        </is>
      </c>
      <c r="G28" s="5" t="inlineStr">
        <is>
          <t>증분지출 0.70 / (BME 유지 0.40 + 0.70). 대조군용 BME 구매 지속</t>
        </is>
      </c>
    </row>
    <row r="29">
      <c r="A29" t="n">
        <v>28</v>
      </c>
      <c r="B29" s="5" t="inlineStr">
        <is>
          <t>수요</t>
        </is>
      </c>
      <c r="C29" s="5" t="inlineStr">
        <is>
          <t>LG 점유율 RUO (base)</t>
        </is>
      </c>
      <c r="D29" s="5" t="n">
        <v>0.12</v>
      </c>
      <c r="E29" s="5" t="inlineStr">
        <is>
          <t>비율</t>
        </is>
      </c>
      <c r="F29" s="5" t="inlineStr">
        <is>
          <t>[A-A21]</t>
        </is>
      </c>
      <c r="G29" s="5" t="inlineStr">
        <is>
          <t>bear 5% / base 12% / bull 22%</t>
        </is>
      </c>
    </row>
    <row r="30">
      <c r="A30" t="n">
        <v>29</v>
      </c>
      <c r="B30" s="5" t="inlineStr">
        <is>
          <t>수요</t>
        </is>
      </c>
      <c r="C30" s="5" t="inlineStr">
        <is>
          <t>LG 점유율 GMP (base)</t>
        </is>
      </c>
      <c r="D30" s="5" t="n">
        <v>0.25</v>
      </c>
      <c r="E30" s="5" t="inlineStr">
        <is>
          <t>비율</t>
        </is>
      </c>
      <c r="F30" s="5" t="inlineStr">
        <is>
          <t>[A-A21]</t>
        </is>
      </c>
      <c r="G30" s="5" t="inlineStr">
        <is>
          <t>공개 정가 GMP 매트릭스 0개 = 미점유 구간</t>
        </is>
      </c>
    </row>
    <row r="31">
      <c r="A31" t="n">
        <v>30</v>
      </c>
      <c r="B31" s="5" t="inlineStr">
        <is>
          <t>비용</t>
        </is>
      </c>
      <c r="C31" s="5" t="inlineStr">
        <is>
          <t>SG&amp;A / 매출</t>
        </is>
      </c>
      <c r="D31" s="5" t="n">
        <v>0.29</v>
      </c>
      <c r="E31" s="5" t="inlineStr">
        <is>
          <t>비율</t>
        </is>
      </c>
      <c r="F31" s="5" t="inlineStr">
        <is>
          <t>[E-808]</t>
        </is>
      </c>
      <c r="G31" s="5" t="inlineStr">
        <is>
          <t>Bio-Techne FY2025 조정 SG&amp;A 29.0%</t>
        </is>
      </c>
    </row>
    <row r="32">
      <c r="A32" t="n">
        <v>31</v>
      </c>
      <c r="B32" s="5" t="inlineStr">
        <is>
          <t>비용</t>
        </is>
      </c>
      <c r="C32" s="5" t="inlineStr">
        <is>
          <t>R&amp;D / 매출</t>
        </is>
      </c>
      <c r="D32" s="5" t="n">
        <v>0.078</v>
      </c>
      <c r="E32" s="5" t="inlineStr">
        <is>
          <t>비율</t>
        </is>
      </c>
      <c r="F32" s="5" t="inlineStr">
        <is>
          <t>[E-808]</t>
        </is>
      </c>
      <c r="G32" s="5" t="inlineStr">
        <is>
          <t>Bio-Techne FY2025 R&amp;D 7.8%</t>
        </is>
      </c>
    </row>
    <row r="33">
      <c r="A33" t="n">
        <v>32</v>
      </c>
      <c r="B33" s="5" t="inlineStr">
        <is>
          <t>비용</t>
        </is>
      </c>
      <c r="C33" s="5" t="inlineStr">
        <is>
          <t>상업 FTE fully-loaded</t>
        </is>
      </c>
      <c r="D33" s="5" t="n">
        <v>190781</v>
      </c>
      <c r="E33" s="5" t="inlineStr">
        <is>
          <t>USD/년</t>
        </is>
      </c>
      <c r="F33" s="5" t="inlineStr">
        <is>
          <t>[E-809]</t>
        </is>
      </c>
      <c r="G33" s="5" t="inlineStr">
        <is>
          <t>FAS 중앙값 총보상 × 1.25. Agent E 의 90,000 가정 폐기 (X H12)</t>
        </is>
      </c>
    </row>
    <row r="34">
      <c r="A34" t="n">
        <v>33</v>
      </c>
      <c r="B34" s="5" t="inlineStr">
        <is>
          <t>비용</t>
        </is>
      </c>
      <c r="C34" s="5" t="inlineStr">
        <is>
          <t>R&amp;D 최소 지출</t>
        </is>
      </c>
      <c r="D34" s="5" t="n">
        <v>470000</v>
      </c>
      <c r="E34" s="5" t="inlineStr">
        <is>
          <t>USD/년</t>
        </is>
      </c>
      <c r="F34" s="5" t="inlineStr">
        <is>
          <t>[E-434]</t>
        </is>
      </c>
      <c r="G34" s="5" t="inlineStr">
        <is>
          <t>3 FTE(한국 90,000) + 소재 200,000</t>
        </is>
      </c>
    </row>
    <row r="35">
      <c r="A35" t="n">
        <v>34</v>
      </c>
      <c r="B35" s="5" t="inlineStr">
        <is>
          <t>리스크</t>
        </is>
      </c>
      <c r="C35" s="5" t="inlineStr">
        <is>
          <t>라미닌 무첨가 성공확률</t>
        </is>
      </c>
      <c r="D35" s="5" t="n">
        <v>0.6</v>
      </c>
      <c r="E35" s="5" t="inlineStr">
        <is>
          <t>확률</t>
        </is>
      </c>
      <c r="F35" s="5" t="inlineStr">
        <is>
          <t>[D-A07]</t>
        </is>
      </c>
      <c r="G35" s="5" t="inlineStr">
        <is>
          <t>V-07: 이분법. 실패 시 COGS +110.96 USD/mL → 공헌이익 음수</t>
        </is>
      </c>
    </row>
    <row r="36">
      <c r="A36" t="n">
        <v>35</v>
      </c>
      <c r="B36" s="5" t="inlineStr">
        <is>
          <t>리스크</t>
        </is>
      </c>
      <c r="C36" s="5" t="inlineStr">
        <is>
          <t>시나리오 확률 bear/base/bull</t>
        </is>
      </c>
      <c r="D36" s="5" t="n">
        <v>0.55</v>
      </c>
      <c r="E36" s="5" t="inlineStr">
        <is>
          <t>확률</t>
        </is>
      </c>
      <c r="F36" s="5" t="inlineStr">
        <is>
          <t>[X §15.2]</t>
        </is>
      </c>
      <c r="G36" s="5" t="inlineStr">
        <is>
          <t>0.55 / 0.33 / 0.12. bull = X 의 P(성공) 0.12</t>
        </is>
      </c>
    </row>
    <row r="37">
      <c r="A37" t="n">
        <v>36</v>
      </c>
      <c r="B37" s="5" t="inlineStr">
        <is>
          <t>대안스코프</t>
        </is>
      </c>
      <c r="C37" s="5" t="inlineStr">
        <is>
          <t>비오가노이드 3D 매트릭스 2025</t>
        </is>
      </c>
      <c r="D37" s="5" t="n">
        <v>74200000</v>
      </c>
      <c r="E37" s="5" t="inlineStr">
        <is>
          <t>USD</t>
        </is>
      </c>
      <c r="F37" s="5" t="inlineStr">
        <is>
          <t>[E-335]</t>
        </is>
      </c>
      <c r="G37" s="5" t="inlineStr">
        <is>
          <t>A 경로3 전용도 117.2 M − 오가노이드 42.97 M</t>
        </is>
      </c>
    </row>
    <row r="38">
      <c r="A38" t="n">
        <v>37</v>
      </c>
      <c r="B38" s="5" t="inlineStr">
        <is>
          <t>대안스코프</t>
        </is>
      </c>
      <c r="C38" s="5" t="inlineStr">
        <is>
          <t>콜라겐+젤라틴 바이오잉크 2025</t>
        </is>
      </c>
      <c r="D38" s="5" t="n">
        <v>48200000</v>
      </c>
      <c r="E38" s="5" t="inlineStr">
        <is>
          <t>USD</t>
        </is>
      </c>
      <c r="F38" s="5" t="inlineStr">
        <is>
          <t>[E-810]</t>
        </is>
      </c>
      <c r="G38" s="5" t="inlineStr">
        <is>
          <t>콜라겐 32.5 M + 젤라틴 15.7 M (GMI)</t>
        </is>
      </c>
    </row>
    <row r="39">
      <c r="A39" t="n">
        <v>38</v>
      </c>
      <c r="B39" s="5" t="inlineStr">
        <is>
          <t>대안스코프</t>
        </is>
      </c>
      <c r="C39" s="5" t="inlineStr">
        <is>
          <t>옵션(b) 추가 CAPEX</t>
        </is>
      </c>
      <c r="D39" s="5" t="n">
        <v>5000000</v>
      </c>
      <c r="E39" s="5" t="inlineStr">
        <is>
          <t>USD</t>
        </is>
      </c>
      <c r="F39" s="5" t="inlineStr">
        <is>
          <t>[G §4.2]</t>
        </is>
      </c>
      <c r="G39" s="5" t="inlineStr">
        <is>
          <t>배합·프린터 호환성·어세이 밸리데이션·영업확장</t>
        </is>
      </c>
    </row>
    <row r="40">
      <c r="A40" t="n">
        <v>39</v>
      </c>
      <c r="B40" s="5" t="inlineStr">
        <is>
          <t>대안스코프</t>
        </is>
      </c>
      <c r="C40" s="5" t="inlineStr">
        <is>
          <t>TeloCol-6 커모디티 콜라겐 단가</t>
        </is>
      </c>
      <c r="D40" s="5" t="n">
        <v>11.64</v>
      </c>
      <c r="E40" s="5" t="inlineStr">
        <is>
          <t>USD/mL</t>
        </is>
      </c>
      <c r="F40" s="5" t="inlineStr">
        <is>
          <t>[E-155]</t>
        </is>
      </c>
      <c r="G40" s="5" t="inlineStr">
        <is>
          <t>X: 비오가노이드 레그의 실질 가격 상한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4" customWidth="1" min="3" max="3"/>
    <col width="10" customWidth="1" min="4" max="4"/>
    <col width="16" customWidth="1" min="5" max="5"/>
    <col width="20" customWidth="1" min="6" max="6"/>
    <col width="20" customWidth="1" min="7" max="7"/>
    <col width="12" customWidth="1" min="8" max="8"/>
    <col width="18" customWidth="1" min="9" max="9"/>
    <col width="18" customWidth="1" min="10" max="10"/>
  </cols>
  <sheetData>
    <row r="1">
      <c r="A1" s="4" t="inlineStr">
        <is>
          <t>시나리오</t>
        </is>
      </c>
      <c r="B1" s="4" t="inlineStr">
        <is>
          <t>연도</t>
        </is>
      </c>
      <c r="C1" s="4" t="inlineStr">
        <is>
          <t>세그먼트</t>
        </is>
      </c>
      <c r="D1" s="4" t="inlineStr">
        <is>
          <t>지역</t>
        </is>
      </c>
      <c r="E1" s="4" t="inlineStr">
        <is>
          <t>TAM USD</t>
        </is>
      </c>
      <c r="F1" s="4" t="inlineStr">
        <is>
          <t>TAM_addressable USD</t>
        </is>
      </c>
      <c r="G1" s="4" t="inlineStr">
        <is>
          <t>TAM_addressable L</t>
        </is>
      </c>
      <c r="H1" s="4" t="inlineStr">
        <is>
          <t>침투율 P(t)</t>
        </is>
      </c>
      <c r="I1" s="4" t="inlineStr">
        <is>
          <t>SAM_adjusted USD</t>
        </is>
      </c>
      <c r="J1" s="4" t="inlineStr">
        <is>
          <t>SAM_adjusted L</t>
        </is>
      </c>
    </row>
    <row r="2">
      <c r="A2" t="inlineStr">
        <is>
          <t>bear</t>
        </is>
      </c>
      <c r="B2" t="n">
        <v>2026</v>
      </c>
      <c r="C2" t="inlineStr">
        <is>
          <t>academic_ruo</t>
        </is>
      </c>
      <c r="D2" t="inlineStr">
        <is>
          <t>US</t>
        </is>
      </c>
      <c r="E2" t="n">
        <v>6646922</v>
      </c>
      <c r="F2" t="n">
        <v>4054622</v>
      </c>
      <c r="G2" t="n">
        <v>87.5532</v>
      </c>
      <c r="H2" t="n">
        <v>0.024316</v>
      </c>
      <c r="I2">
        <f>F2*H2</f>
        <v/>
      </c>
      <c r="J2">
        <f>G2*H2</f>
        <v/>
      </c>
    </row>
    <row r="3">
      <c r="A3" t="inlineStr">
        <is>
          <t>bear</t>
        </is>
      </c>
      <c r="B3" t="n">
        <v>2026</v>
      </c>
      <c r="C3" t="inlineStr">
        <is>
          <t>academic_ruo</t>
        </is>
      </c>
      <c r="D3" t="inlineStr">
        <is>
          <t>EU</t>
        </is>
      </c>
      <c r="E3" t="n">
        <v>7329269</v>
      </c>
      <c r="F3" t="n">
        <v>4470854</v>
      </c>
      <c r="G3" t="n">
        <v>96.541</v>
      </c>
      <c r="H3" t="n">
        <v>0.024316</v>
      </c>
      <c r="I3">
        <f>F3*H3</f>
        <v/>
      </c>
      <c r="J3">
        <f>G3*H3</f>
        <v/>
      </c>
    </row>
    <row r="4">
      <c r="A4" t="inlineStr">
        <is>
          <t>bear</t>
        </is>
      </c>
      <c r="B4" t="n">
        <v>2026</v>
      </c>
      <c r="C4" t="inlineStr">
        <is>
          <t>academic_ruo</t>
        </is>
      </c>
      <c r="D4" t="inlineStr">
        <is>
          <t>China</t>
        </is>
      </c>
      <c r="E4" t="n">
        <v>4192309</v>
      </c>
      <c r="F4" t="n">
        <v>2557308</v>
      </c>
      <c r="G4" t="n">
        <v>125.076</v>
      </c>
      <c r="H4" t="n">
        <v>0.024316</v>
      </c>
      <c r="I4">
        <f>F4*H4</f>
        <v/>
      </c>
      <c r="J4">
        <f>G4*H4</f>
        <v/>
      </c>
    </row>
    <row r="5">
      <c r="A5" t="inlineStr">
        <is>
          <t>bear</t>
        </is>
      </c>
      <c r="B5" t="n">
        <v>2026</v>
      </c>
      <c r="C5" t="inlineStr">
        <is>
          <t>academic_ruo</t>
        </is>
      </c>
      <c r="D5" t="inlineStr">
        <is>
          <t>Japan</t>
        </is>
      </c>
      <c r="E5" t="n">
        <v>1455118</v>
      </c>
      <c r="F5" t="n">
        <v>887622</v>
      </c>
      <c r="G5" t="n">
        <v>20.1756</v>
      </c>
      <c r="H5" t="n">
        <v>0.024316</v>
      </c>
      <c r="I5">
        <f>F5*H5</f>
        <v/>
      </c>
      <c r="J5">
        <f>G5*H5</f>
        <v/>
      </c>
    </row>
    <row r="6">
      <c r="A6" t="inlineStr">
        <is>
          <t>bear</t>
        </is>
      </c>
      <c r="B6" t="n">
        <v>2026</v>
      </c>
      <c r="C6" t="inlineStr">
        <is>
          <t>academic_ruo</t>
        </is>
      </c>
      <c r="D6" t="inlineStr">
        <is>
          <t>Korea</t>
        </is>
      </c>
      <c r="E6" t="n">
        <v>1236814</v>
      </c>
      <c r="F6" t="n">
        <v>754457</v>
      </c>
      <c r="G6" t="n">
        <v>18.1014</v>
      </c>
      <c r="H6" t="n">
        <v>0.024316</v>
      </c>
      <c r="I6">
        <f>F6*H6</f>
        <v/>
      </c>
      <c r="J6">
        <f>G6*H6</f>
        <v/>
      </c>
    </row>
    <row r="7">
      <c r="A7" t="inlineStr">
        <is>
          <t>bear</t>
        </is>
      </c>
      <c r="B7" t="n">
        <v>2026</v>
      </c>
      <c r="C7" t="inlineStr">
        <is>
          <t>academic_ruo</t>
        </is>
      </c>
      <c r="D7" t="inlineStr">
        <is>
          <t>RoW</t>
        </is>
      </c>
      <c r="E7" t="n">
        <v>4443370</v>
      </c>
      <c r="F7" t="n">
        <v>2710455</v>
      </c>
      <c r="G7" t="n">
        <v>73.16</v>
      </c>
      <c r="H7" t="n">
        <v>0.024316</v>
      </c>
      <c r="I7">
        <f>F7*H7</f>
        <v/>
      </c>
      <c r="J7">
        <f>G7*H7</f>
        <v/>
      </c>
    </row>
    <row r="8">
      <c r="A8" t="inlineStr">
        <is>
          <t>bear</t>
        </is>
      </c>
      <c r="B8" t="n">
        <v>2026</v>
      </c>
      <c r="C8" t="inlineStr">
        <is>
          <t>pharma_preclinical_nam</t>
        </is>
      </c>
      <c r="D8" t="inlineStr">
        <is>
          <t>US</t>
        </is>
      </c>
      <c r="E8" t="n">
        <v>2955612</v>
      </c>
      <c r="F8" t="n">
        <v>1625587</v>
      </c>
      <c r="G8" t="n">
        <v>41.2964</v>
      </c>
      <c r="H8" t="n">
        <v>0.033637</v>
      </c>
      <c r="I8">
        <f>F8*H8</f>
        <v/>
      </c>
      <c r="J8">
        <f>G8*H8</f>
        <v/>
      </c>
    </row>
    <row r="9">
      <c r="A9" t="inlineStr">
        <is>
          <t>bear</t>
        </is>
      </c>
      <c r="B9" t="n">
        <v>2026</v>
      </c>
      <c r="C9" t="inlineStr">
        <is>
          <t>pharma_preclinical_nam</t>
        </is>
      </c>
      <c r="D9" t="inlineStr">
        <is>
          <t>EU</t>
        </is>
      </c>
      <c r="E9" t="n">
        <v>1642007</v>
      </c>
      <c r="F9" t="n">
        <v>903104</v>
      </c>
      <c r="G9" t="n">
        <v>22.9425</v>
      </c>
      <c r="H9" t="n">
        <v>0.033637</v>
      </c>
      <c r="I9">
        <f>F9*H9</f>
        <v/>
      </c>
      <c r="J9">
        <f>G9*H9</f>
        <v/>
      </c>
    </row>
    <row r="10">
      <c r="A10" t="inlineStr">
        <is>
          <t>bear</t>
        </is>
      </c>
      <c r="B10" t="n">
        <v>2026</v>
      </c>
      <c r="C10" t="inlineStr">
        <is>
          <t>pharma_preclinical_nam</t>
        </is>
      </c>
      <c r="D10" t="inlineStr">
        <is>
          <t>China</t>
        </is>
      </c>
      <c r="E10" t="n">
        <v>434968</v>
      </c>
      <c r="F10" t="n">
        <v>239232</v>
      </c>
      <c r="G10" t="n">
        <v>13.7655</v>
      </c>
      <c r="H10" t="n">
        <v>0.033637</v>
      </c>
      <c r="I10">
        <f>F10*H10</f>
        <v/>
      </c>
      <c r="J10">
        <f>G10*H10</f>
        <v/>
      </c>
    </row>
    <row r="11">
      <c r="A11" t="inlineStr">
        <is>
          <t>bear</t>
        </is>
      </c>
      <c r="B11" t="n">
        <v>2026</v>
      </c>
      <c r="C11" t="inlineStr">
        <is>
          <t>pharma_preclinical_nam</t>
        </is>
      </c>
      <c r="D11" t="inlineStr">
        <is>
          <t>Japan</t>
        </is>
      </c>
      <c r="E11" t="n">
        <v>436774</v>
      </c>
      <c r="F11" t="n">
        <v>240226</v>
      </c>
      <c r="G11" t="n">
        <v>6.4239</v>
      </c>
      <c r="H11" t="n">
        <v>0.033637</v>
      </c>
      <c r="I11">
        <f>F11*H11</f>
        <v/>
      </c>
      <c r="J11">
        <f>G11*H11</f>
        <v/>
      </c>
    </row>
    <row r="12">
      <c r="A12" t="inlineStr">
        <is>
          <t>bear</t>
        </is>
      </c>
      <c r="B12" t="n">
        <v>2026</v>
      </c>
      <c r="C12" t="inlineStr">
        <is>
          <t>pharma_preclinical_nam</t>
        </is>
      </c>
      <c r="D12" t="inlineStr">
        <is>
          <t>Korea</t>
        </is>
      </c>
      <c r="E12" t="n">
        <v>177337</v>
      </c>
      <c r="F12" t="n">
        <v>97535</v>
      </c>
      <c r="G12" t="n">
        <v>2.7531</v>
      </c>
      <c r="H12" t="n">
        <v>0.033637</v>
      </c>
      <c r="I12">
        <f>F12*H12</f>
        <v/>
      </c>
      <c r="J12">
        <f>G12*H12</f>
        <v/>
      </c>
    </row>
    <row r="13">
      <c r="A13" t="inlineStr">
        <is>
          <t>bear</t>
        </is>
      </c>
      <c r="B13" t="n">
        <v>2026</v>
      </c>
      <c r="C13" t="inlineStr">
        <is>
          <t>pharma_preclinical_nam</t>
        </is>
      </c>
      <c r="D13" t="inlineStr">
        <is>
          <t>RoW</t>
        </is>
      </c>
      <c r="E13" t="n">
        <v>262721</v>
      </c>
      <c r="F13" t="n">
        <v>144497</v>
      </c>
      <c r="G13" t="n">
        <v>4.5885</v>
      </c>
      <c r="H13" t="n">
        <v>0.033637</v>
      </c>
      <c r="I13">
        <f>F13*H13</f>
        <v/>
      </c>
      <c r="J13">
        <f>G13*H13</f>
        <v/>
      </c>
    </row>
    <row r="14">
      <c r="A14" t="inlineStr">
        <is>
          <t>bear</t>
        </is>
      </c>
      <c r="B14" t="n">
        <v>2026</v>
      </c>
      <c r="C14" t="inlineStr">
        <is>
          <t>organoid_cro_biobank</t>
        </is>
      </c>
      <c r="D14" t="inlineStr">
        <is>
          <t>US</t>
        </is>
      </c>
      <c r="E14" t="n">
        <v>3565086</v>
      </c>
      <c r="F14" t="n">
        <v>1782543</v>
      </c>
      <c r="G14" t="n">
        <v>51.3216</v>
      </c>
      <c r="H14" t="n">
        <v>0.010942</v>
      </c>
      <c r="I14">
        <f>F14*H14</f>
        <v/>
      </c>
      <c r="J14">
        <f>G14*H14</f>
        <v/>
      </c>
    </row>
    <row r="15">
      <c r="A15" t="inlineStr">
        <is>
          <t>bear</t>
        </is>
      </c>
      <c r="B15" t="n">
        <v>2026</v>
      </c>
      <c r="C15" t="inlineStr">
        <is>
          <t>organoid_cro_biobank</t>
        </is>
      </c>
      <c r="D15" t="inlineStr">
        <is>
          <t>EU</t>
        </is>
      </c>
      <c r="E15" t="n">
        <v>1782543</v>
      </c>
      <c r="F15" t="n">
        <v>891271</v>
      </c>
      <c r="G15" t="n">
        <v>25.6608</v>
      </c>
      <c r="H15" t="n">
        <v>0.010942</v>
      </c>
      <c r="I15">
        <f>F15*H15</f>
        <v/>
      </c>
      <c r="J15">
        <f>G15*H15</f>
        <v/>
      </c>
    </row>
    <row r="16">
      <c r="A16" t="inlineStr">
        <is>
          <t>bear</t>
        </is>
      </c>
      <c r="B16" t="n">
        <v>2026</v>
      </c>
      <c r="C16" t="inlineStr">
        <is>
          <t>organoid_cro_biobank</t>
        </is>
      </c>
      <c r="D16" t="inlineStr">
        <is>
          <t>China</t>
        </is>
      </c>
      <c r="E16" t="n">
        <v>865692</v>
      </c>
      <c r="F16" t="n">
        <v>432846</v>
      </c>
      <c r="G16" t="n">
        <v>28.2269</v>
      </c>
      <c r="H16" t="n">
        <v>0.010942</v>
      </c>
      <c r="I16">
        <f>F16*H16</f>
        <v/>
      </c>
      <c r="J16">
        <f>G16*H16</f>
        <v/>
      </c>
    </row>
    <row r="17">
      <c r="A17" t="inlineStr">
        <is>
          <t>bear</t>
        </is>
      </c>
      <c r="B17" t="n">
        <v>2026</v>
      </c>
      <c r="C17" t="inlineStr">
        <is>
          <t>organoid_cro_biobank</t>
        </is>
      </c>
      <c r="D17" t="inlineStr">
        <is>
          <t>Japan</t>
        </is>
      </c>
      <c r="E17" t="n">
        <v>508025</v>
      </c>
      <c r="F17" t="n">
        <v>254012</v>
      </c>
      <c r="G17" t="n">
        <v>7.6982</v>
      </c>
      <c r="H17" t="n">
        <v>0.010942</v>
      </c>
      <c r="I17">
        <f>F17*H17</f>
        <v/>
      </c>
      <c r="J17">
        <f>G17*H17</f>
        <v/>
      </c>
    </row>
    <row r="18">
      <c r="A18" t="inlineStr">
        <is>
          <t>bear</t>
        </is>
      </c>
      <c r="B18" t="n">
        <v>2026</v>
      </c>
      <c r="C18" t="inlineStr">
        <is>
          <t>organoid_cro_biobank</t>
        </is>
      </c>
      <c r="D18" t="inlineStr">
        <is>
          <t>Korea</t>
        </is>
      </c>
      <c r="E18" t="n">
        <v>401072</v>
      </c>
      <c r="F18" t="n">
        <v>200536</v>
      </c>
      <c r="G18" t="n">
        <v>6.4152</v>
      </c>
      <c r="H18" t="n">
        <v>0.010942</v>
      </c>
      <c r="I18">
        <f>F18*H18</f>
        <v/>
      </c>
      <c r="J18">
        <f>G18*H18</f>
        <v/>
      </c>
    </row>
    <row r="19">
      <c r="A19" t="inlineStr">
        <is>
          <t>bear</t>
        </is>
      </c>
      <c r="B19" t="n">
        <v>2026</v>
      </c>
      <c r="C19" t="inlineStr">
        <is>
          <t>organoid_cro_biobank</t>
        </is>
      </c>
      <c r="D19" t="inlineStr">
        <is>
          <t>RoW</t>
        </is>
      </c>
      <c r="E19" t="n">
        <v>499112</v>
      </c>
      <c r="F19" t="n">
        <v>249556</v>
      </c>
      <c r="G19" t="n">
        <v>8.981299999999999</v>
      </c>
      <c r="H19" t="n">
        <v>0.010942</v>
      </c>
      <c r="I19">
        <f>F19*H19</f>
        <v/>
      </c>
      <c r="J19">
        <f>G19*H19</f>
        <v/>
      </c>
    </row>
    <row r="20">
      <c r="A20" t="inlineStr">
        <is>
          <t>bear</t>
        </is>
      </c>
      <c r="B20" t="n">
        <v>2026</v>
      </c>
      <c r="C20" t="inlineStr">
        <is>
          <t>clinical_dx_pdo</t>
        </is>
      </c>
      <c r="D20" t="inlineStr">
        <is>
          <t>US</t>
        </is>
      </c>
      <c r="E20" t="n">
        <v>324173</v>
      </c>
      <c r="F20" t="n">
        <v>145878</v>
      </c>
      <c r="G20" t="n">
        <v>3.15</v>
      </c>
      <c r="H20" t="n">
        <v>0.012968</v>
      </c>
      <c r="I20">
        <f>F20*H20</f>
        <v/>
      </c>
      <c r="J20">
        <f>G20*H20</f>
        <v/>
      </c>
    </row>
    <row r="21">
      <c r="A21" t="inlineStr">
        <is>
          <t>bear</t>
        </is>
      </c>
      <c r="B21" t="n">
        <v>2026</v>
      </c>
      <c r="C21" t="inlineStr">
        <is>
          <t>clinical_dx_pdo</t>
        </is>
      </c>
      <c r="D21" t="inlineStr">
        <is>
          <t>EU</t>
        </is>
      </c>
      <c r="E21" t="n">
        <v>194504</v>
      </c>
      <c r="F21" t="n">
        <v>87527</v>
      </c>
      <c r="G21" t="n">
        <v>1.89</v>
      </c>
      <c r="H21" t="n">
        <v>0.012968</v>
      </c>
      <c r="I21">
        <f>F21*H21</f>
        <v/>
      </c>
      <c r="J21">
        <f>G21*H21</f>
        <v/>
      </c>
    </row>
    <row r="22">
      <c r="A22" t="inlineStr">
        <is>
          <t>bear</t>
        </is>
      </c>
      <c r="B22" t="n">
        <v>2026</v>
      </c>
      <c r="C22" t="inlineStr">
        <is>
          <t>clinical_dx_pdo</t>
        </is>
      </c>
      <c r="D22" t="inlineStr">
        <is>
          <t>China</t>
        </is>
      </c>
      <c r="E22" t="n">
        <v>257620</v>
      </c>
      <c r="F22" t="n">
        <v>115929</v>
      </c>
      <c r="G22" t="n">
        <v>5.67</v>
      </c>
      <c r="H22" t="n">
        <v>0.012968</v>
      </c>
      <c r="I22">
        <f>F22*H22</f>
        <v/>
      </c>
      <c r="J22">
        <f>G22*H22</f>
        <v/>
      </c>
    </row>
    <row r="23">
      <c r="A23" t="inlineStr">
        <is>
          <t>bear</t>
        </is>
      </c>
      <c r="B23" t="n">
        <v>2026</v>
      </c>
      <c r="C23" t="inlineStr">
        <is>
          <t>clinical_dx_pdo</t>
        </is>
      </c>
      <c r="D23" t="inlineStr">
        <is>
          <t>Japan</t>
        </is>
      </c>
      <c r="E23" t="n">
        <v>73911</v>
      </c>
      <c r="F23" t="n">
        <v>33260</v>
      </c>
      <c r="G23" t="n">
        <v>0.756</v>
      </c>
      <c r="H23" t="n">
        <v>0.012968</v>
      </c>
      <c r="I23">
        <f>F23*H23</f>
        <v/>
      </c>
      <c r="J23">
        <f>G23*H23</f>
        <v/>
      </c>
    </row>
    <row r="24">
      <c r="A24" t="inlineStr">
        <is>
          <t>bear</t>
        </is>
      </c>
      <c r="B24" t="n">
        <v>2026</v>
      </c>
      <c r="C24" t="inlineStr">
        <is>
          <t>clinical_dx_pdo</t>
        </is>
      </c>
      <c r="D24" t="inlineStr">
        <is>
          <t>Korea</t>
        </is>
      </c>
      <c r="E24" t="n">
        <v>58351</v>
      </c>
      <c r="F24" t="n">
        <v>26258</v>
      </c>
      <c r="G24" t="n">
        <v>0.63</v>
      </c>
      <c r="H24" t="n">
        <v>0.012968</v>
      </c>
      <c r="I24">
        <f>F24*H24</f>
        <v/>
      </c>
      <c r="J24">
        <f>G24*H24</f>
        <v/>
      </c>
    </row>
    <row r="25">
      <c r="A25" t="inlineStr">
        <is>
          <t>bear</t>
        </is>
      </c>
      <c r="B25" t="n">
        <v>2026</v>
      </c>
      <c r="C25" t="inlineStr">
        <is>
          <t>clinical_dx_pdo</t>
        </is>
      </c>
      <c r="D25" t="inlineStr">
        <is>
          <t>RoW</t>
        </is>
      </c>
      <c r="E25" t="n">
        <v>41494</v>
      </c>
      <c r="F25" t="n">
        <v>18672</v>
      </c>
      <c r="G25" t="n">
        <v>0.504</v>
      </c>
      <c r="H25" t="n">
        <v>0.012968</v>
      </c>
      <c r="I25">
        <f>F25*H25</f>
        <v/>
      </c>
      <c r="J25">
        <f>G25*H25</f>
        <v/>
      </c>
    </row>
    <row r="26">
      <c r="A26" t="inlineStr">
        <is>
          <t>bear</t>
        </is>
      </c>
      <c r="B26" t="n">
        <v>2026</v>
      </c>
      <c r="C26" t="inlineStr">
        <is>
          <t>regenerative_gmp</t>
        </is>
      </c>
      <c r="D26" t="inlineStr">
        <is>
          <t>US</t>
        </is>
      </c>
      <c r="E26" t="n">
        <v>28183</v>
      </c>
      <c r="F26" t="n">
        <v>28183</v>
      </c>
      <c r="G26" t="n">
        <v>0.25</v>
      </c>
      <c r="H26" t="n">
        <v>0.175</v>
      </c>
      <c r="I26">
        <f>F26*H26</f>
        <v/>
      </c>
      <c r="J26">
        <f>G26*H26</f>
        <v/>
      </c>
    </row>
    <row r="27">
      <c r="A27" t="inlineStr">
        <is>
          <t>bear</t>
        </is>
      </c>
      <c r="B27" t="n">
        <v>2026</v>
      </c>
      <c r="C27" t="inlineStr">
        <is>
          <t>regenerative_gmp</t>
        </is>
      </c>
      <c r="D27" t="inlineStr">
        <is>
          <t>EU</t>
        </is>
      </c>
      <c r="E27" t="n">
        <v>22547</v>
      </c>
      <c r="F27" t="n">
        <v>22547</v>
      </c>
      <c r="G27" t="n">
        <v>0.2</v>
      </c>
      <c r="H27" t="n">
        <v>0.175</v>
      </c>
      <c r="I27">
        <f>F27*H27</f>
        <v/>
      </c>
      <c r="J27">
        <f>G27*H27</f>
        <v/>
      </c>
    </row>
    <row r="28">
      <c r="A28" t="inlineStr">
        <is>
          <t>bear</t>
        </is>
      </c>
      <c r="B28" t="n">
        <v>2026</v>
      </c>
      <c r="C28" t="inlineStr">
        <is>
          <t>regenerative_gmp</t>
        </is>
      </c>
      <c r="D28" t="inlineStr">
        <is>
          <t>China</t>
        </is>
      </c>
      <c r="E28" t="n">
        <v>4977</v>
      </c>
      <c r="F28" t="n">
        <v>4977</v>
      </c>
      <c r="G28" t="n">
        <v>0.1</v>
      </c>
      <c r="H28" t="n">
        <v>0.175</v>
      </c>
      <c r="I28">
        <f>F28*H28</f>
        <v/>
      </c>
      <c r="J28">
        <f>G28*H28</f>
        <v/>
      </c>
    </row>
    <row r="29">
      <c r="A29" t="inlineStr">
        <is>
          <t>bear</t>
        </is>
      </c>
      <c r="B29" t="n">
        <v>2026</v>
      </c>
      <c r="C29" t="inlineStr">
        <is>
          <t>regenerative_gmp</t>
        </is>
      </c>
      <c r="D29" t="inlineStr">
        <is>
          <t>Japan</t>
        </is>
      </c>
      <c r="E29" t="n">
        <v>42838</v>
      </c>
      <c r="F29" t="n">
        <v>42838</v>
      </c>
      <c r="G29" t="n">
        <v>0.4</v>
      </c>
      <c r="H29" t="n">
        <v>0.175</v>
      </c>
      <c r="I29">
        <f>F29*H29</f>
        <v/>
      </c>
      <c r="J29">
        <f>G29*H29</f>
        <v/>
      </c>
    </row>
    <row r="30">
      <c r="A30" t="inlineStr">
        <is>
          <t>bear</t>
        </is>
      </c>
      <c r="B30" t="n">
        <v>2026</v>
      </c>
      <c r="C30" t="inlineStr">
        <is>
          <t>regenerative_gmp</t>
        </is>
      </c>
      <c r="D30" t="inlineStr">
        <is>
          <t>Korea</t>
        </is>
      </c>
      <c r="E30" t="n">
        <v>5073</v>
      </c>
      <c r="F30" t="n">
        <v>5073</v>
      </c>
      <c r="G30" t="n">
        <v>0.05</v>
      </c>
      <c r="H30" t="n">
        <v>0.175</v>
      </c>
      <c r="I30">
        <f>F30*H30</f>
        <v/>
      </c>
      <c r="J30">
        <f>G30*H30</f>
        <v/>
      </c>
    </row>
    <row r="31">
      <c r="A31" t="inlineStr">
        <is>
          <t>bear</t>
        </is>
      </c>
      <c r="B31" t="n">
        <v>2026</v>
      </c>
      <c r="C31" t="inlineStr">
        <is>
          <t>regenerative_gmp</t>
        </is>
      </c>
      <c r="D31" t="inlineStr">
        <is>
          <t>RoW</t>
        </is>
      </c>
      <c r="E31" t="n">
        <v>0</v>
      </c>
      <c r="F31" t="n">
        <v>0</v>
      </c>
      <c r="G31" t="n">
        <v>0</v>
      </c>
      <c r="H31" t="n">
        <v>0.175</v>
      </c>
      <c r="I31">
        <f>F31*H31</f>
        <v/>
      </c>
      <c r="J31">
        <f>G31*H31</f>
        <v/>
      </c>
    </row>
    <row r="32">
      <c r="A32" t="inlineStr">
        <is>
          <t>bear</t>
        </is>
      </c>
      <c r="B32" t="n">
        <v>2027</v>
      </c>
      <c r="C32" t="inlineStr">
        <is>
          <t>academic_ruo</t>
        </is>
      </c>
      <c r="D32" t="inlineStr">
        <is>
          <t>US</t>
        </is>
      </c>
      <c r="E32" t="n">
        <v>6636287</v>
      </c>
      <c r="F32" t="n">
        <v>4048135</v>
      </c>
      <c r="G32" t="n">
        <v>91.0553</v>
      </c>
      <c r="H32" t="n">
        <v>0.029247</v>
      </c>
      <c r="I32">
        <f>F32*H32</f>
        <v/>
      </c>
      <c r="J32">
        <f>G32*H32</f>
        <v/>
      </c>
    </row>
    <row r="33">
      <c r="A33" t="inlineStr">
        <is>
          <t>bear</t>
        </is>
      </c>
      <c r="B33" t="n">
        <v>2027</v>
      </c>
      <c r="C33" t="inlineStr">
        <is>
          <t>academic_ruo</t>
        </is>
      </c>
      <c r="D33" t="inlineStr">
        <is>
          <t>EU</t>
        </is>
      </c>
      <c r="E33" t="n">
        <v>7317543</v>
      </c>
      <c r="F33" t="n">
        <v>4463701</v>
      </c>
      <c r="G33" t="n">
        <v>100.4027</v>
      </c>
      <c r="H33" t="n">
        <v>0.029247</v>
      </c>
      <c r="I33">
        <f>F33*H33</f>
        <v/>
      </c>
      <c r="J33">
        <f>G33*H33</f>
        <v/>
      </c>
    </row>
    <row r="34">
      <c r="A34" t="inlineStr">
        <is>
          <t>bear</t>
        </is>
      </c>
      <c r="B34" t="n">
        <v>2027</v>
      </c>
      <c r="C34" t="inlineStr">
        <is>
          <t>academic_ruo</t>
        </is>
      </c>
      <c r="D34" t="inlineStr">
        <is>
          <t>China</t>
        </is>
      </c>
      <c r="E34" t="n">
        <v>4185601</v>
      </c>
      <c r="F34" t="n">
        <v>2553217</v>
      </c>
      <c r="G34" t="n">
        <v>130.079</v>
      </c>
      <c r="H34" t="n">
        <v>0.029247</v>
      </c>
      <c r="I34">
        <f>F34*H34</f>
        <v/>
      </c>
      <c r="J34">
        <f>G34*H34</f>
        <v/>
      </c>
    </row>
    <row r="35">
      <c r="A35" t="inlineStr">
        <is>
          <t>bear</t>
        </is>
      </c>
      <c r="B35" t="n">
        <v>2027</v>
      </c>
      <c r="C35" t="inlineStr">
        <is>
          <t>academic_ruo</t>
        </is>
      </c>
      <c r="D35" t="inlineStr">
        <is>
          <t>Japan</t>
        </is>
      </c>
      <c r="E35" t="n">
        <v>1452789</v>
      </c>
      <c r="F35" t="n">
        <v>886202</v>
      </c>
      <c r="G35" t="n">
        <v>20.9826</v>
      </c>
      <c r="H35" t="n">
        <v>0.029247</v>
      </c>
      <c r="I35">
        <f>F35*H35</f>
        <v/>
      </c>
      <c r="J35">
        <f>G35*H35</f>
        <v/>
      </c>
    </row>
    <row r="36">
      <c r="A36" t="inlineStr">
        <is>
          <t>bear</t>
        </is>
      </c>
      <c r="B36" t="n">
        <v>2027</v>
      </c>
      <c r="C36" t="inlineStr">
        <is>
          <t>academic_ruo</t>
        </is>
      </c>
      <c r="D36" t="inlineStr">
        <is>
          <t>Korea</t>
        </is>
      </c>
      <c r="E36" t="n">
        <v>1234835</v>
      </c>
      <c r="F36" t="n">
        <v>753250</v>
      </c>
      <c r="G36" t="n">
        <v>18.8255</v>
      </c>
      <c r="H36" t="n">
        <v>0.029247</v>
      </c>
      <c r="I36">
        <f>F36*H36</f>
        <v/>
      </c>
      <c r="J36">
        <f>G36*H36</f>
        <v/>
      </c>
    </row>
    <row r="37">
      <c r="A37" t="inlineStr">
        <is>
          <t>bear</t>
        </is>
      </c>
      <c r="B37" t="n">
        <v>2027</v>
      </c>
      <c r="C37" t="inlineStr">
        <is>
          <t>academic_ruo</t>
        </is>
      </c>
      <c r="D37" t="inlineStr">
        <is>
          <t>RoW</t>
        </is>
      </c>
      <c r="E37" t="n">
        <v>4436260</v>
      </c>
      <c r="F37" t="n">
        <v>2706119</v>
      </c>
      <c r="G37" t="n">
        <v>76.0864</v>
      </c>
      <c r="H37" t="n">
        <v>0.029247</v>
      </c>
      <c r="I37">
        <f>F37*H37</f>
        <v/>
      </c>
      <c r="J37">
        <f>G37*H37</f>
        <v/>
      </c>
    </row>
    <row r="38">
      <c r="A38" t="inlineStr">
        <is>
          <t>bear</t>
        </is>
      </c>
      <c r="B38" t="n">
        <v>2027</v>
      </c>
      <c r="C38" t="inlineStr">
        <is>
          <t>pharma_preclinical_nam</t>
        </is>
      </c>
      <c r="D38" t="inlineStr">
        <is>
          <t>US</t>
        </is>
      </c>
      <c r="E38" t="n">
        <v>3715541</v>
      </c>
      <c r="F38" t="n">
        <v>2043548</v>
      </c>
      <c r="G38" t="n">
        <v>54.0774</v>
      </c>
      <c r="H38" t="n">
        <v>0.042119</v>
      </c>
      <c r="I38">
        <f>F38*H38</f>
        <v/>
      </c>
      <c r="J38">
        <f>G38*H38</f>
        <v/>
      </c>
    </row>
    <row r="39">
      <c r="A39" t="inlineStr">
        <is>
          <t>bear</t>
        </is>
      </c>
      <c r="B39" t="n">
        <v>2027</v>
      </c>
      <c r="C39" t="inlineStr">
        <is>
          <t>pharma_preclinical_nam</t>
        </is>
      </c>
      <c r="D39" t="inlineStr">
        <is>
          <t>EU</t>
        </is>
      </c>
      <c r="E39" t="n">
        <v>2064190</v>
      </c>
      <c r="F39" t="n">
        <v>1135304</v>
      </c>
      <c r="G39" t="n">
        <v>30.043</v>
      </c>
      <c r="H39" t="n">
        <v>0.042119</v>
      </c>
      <c r="I39">
        <f>F39*H39</f>
        <v/>
      </c>
      <c r="J39">
        <f>G39*H39</f>
        <v/>
      </c>
    </row>
    <row r="40">
      <c r="A40" t="inlineStr">
        <is>
          <t>bear</t>
        </is>
      </c>
      <c r="B40" t="n">
        <v>2027</v>
      </c>
      <c r="C40" t="inlineStr">
        <is>
          <t>pharma_preclinical_nam</t>
        </is>
      </c>
      <c r="D40" t="inlineStr">
        <is>
          <t>China</t>
        </is>
      </c>
      <c r="E40" t="n">
        <v>546804</v>
      </c>
      <c r="F40" t="n">
        <v>300742</v>
      </c>
      <c r="G40" t="n">
        <v>18.0258</v>
      </c>
      <c r="H40" t="n">
        <v>0.042119</v>
      </c>
      <c r="I40">
        <f>F40*H40</f>
        <v/>
      </c>
      <c r="J40">
        <f>G40*H40</f>
        <v/>
      </c>
    </row>
    <row r="41">
      <c r="A41" t="inlineStr">
        <is>
          <t>bear</t>
        </is>
      </c>
      <c r="B41" t="n">
        <v>2027</v>
      </c>
      <c r="C41" t="inlineStr">
        <is>
          <t>pharma_preclinical_nam</t>
        </is>
      </c>
      <c r="D41" t="inlineStr">
        <is>
          <t>Japan</t>
        </is>
      </c>
      <c r="E41" t="n">
        <v>549074</v>
      </c>
      <c r="F41" t="n">
        <v>301991</v>
      </c>
      <c r="G41" t="n">
        <v>8.412000000000001</v>
      </c>
      <c r="H41" t="n">
        <v>0.042119</v>
      </c>
      <c r="I41">
        <f>F41*H41</f>
        <v/>
      </c>
      <c r="J41">
        <f>G41*H41</f>
        <v/>
      </c>
    </row>
    <row r="42">
      <c r="A42" t="inlineStr">
        <is>
          <t>bear</t>
        </is>
      </c>
      <c r="B42" t="n">
        <v>2027</v>
      </c>
      <c r="C42" t="inlineStr">
        <is>
          <t>pharma_preclinical_nam</t>
        </is>
      </c>
      <c r="D42" t="inlineStr">
        <is>
          <t>Korea</t>
        </is>
      </c>
      <c r="E42" t="n">
        <v>222932</v>
      </c>
      <c r="F42" t="n">
        <v>122613</v>
      </c>
      <c r="G42" t="n">
        <v>3.6052</v>
      </c>
      <c r="H42" t="n">
        <v>0.042119</v>
      </c>
      <c r="I42">
        <f>F42*H42</f>
        <v/>
      </c>
      <c r="J42">
        <f>G42*H42</f>
        <v/>
      </c>
    </row>
    <row r="43">
      <c r="A43" t="inlineStr">
        <is>
          <t>bear</t>
        </is>
      </c>
      <c r="B43" t="n">
        <v>2027</v>
      </c>
      <c r="C43" t="inlineStr">
        <is>
          <t>pharma_preclinical_nam</t>
        </is>
      </c>
      <c r="D43" t="inlineStr">
        <is>
          <t>RoW</t>
        </is>
      </c>
      <c r="E43" t="n">
        <v>330270</v>
      </c>
      <c r="F43" t="n">
        <v>181649</v>
      </c>
      <c r="G43" t="n">
        <v>6.0086</v>
      </c>
      <c r="H43" t="n">
        <v>0.042119</v>
      </c>
      <c r="I43">
        <f>F43*H43</f>
        <v/>
      </c>
      <c r="J43">
        <f>G43*H43</f>
        <v/>
      </c>
    </row>
    <row r="44">
      <c r="A44" t="inlineStr">
        <is>
          <t>bear</t>
        </is>
      </c>
      <c r="B44" t="n">
        <v>2027</v>
      </c>
      <c r="C44" t="inlineStr">
        <is>
          <t>organoid_cro_biobank</t>
        </is>
      </c>
      <c r="D44" t="inlineStr">
        <is>
          <t>US</t>
        </is>
      </c>
      <c r="E44" t="n">
        <v>3696281</v>
      </c>
      <c r="F44" t="n">
        <v>1848140</v>
      </c>
      <c r="G44" t="n">
        <v>55.4273</v>
      </c>
      <c r="H44" t="n">
        <v>0.012172</v>
      </c>
      <c r="I44">
        <f>F44*H44</f>
        <v/>
      </c>
      <c r="J44">
        <f>G44*H44</f>
        <v/>
      </c>
    </row>
    <row r="45">
      <c r="A45" t="inlineStr">
        <is>
          <t>bear</t>
        </is>
      </c>
      <c r="B45" t="n">
        <v>2027</v>
      </c>
      <c r="C45" t="inlineStr">
        <is>
          <t>organoid_cro_biobank</t>
        </is>
      </c>
      <c r="D45" t="inlineStr">
        <is>
          <t>EU</t>
        </is>
      </c>
      <c r="E45" t="n">
        <v>1848140</v>
      </c>
      <c r="F45" t="n">
        <v>924070</v>
      </c>
      <c r="G45" t="n">
        <v>27.7137</v>
      </c>
      <c r="H45" t="n">
        <v>0.012172</v>
      </c>
      <c r="I45">
        <f>F45*H45</f>
        <v/>
      </c>
      <c r="J45">
        <f>G45*H45</f>
        <v/>
      </c>
    </row>
    <row r="46">
      <c r="A46" t="inlineStr">
        <is>
          <t>bear</t>
        </is>
      </c>
      <c r="B46" t="n">
        <v>2027</v>
      </c>
      <c r="C46" t="inlineStr">
        <is>
          <t>organoid_cro_biobank</t>
        </is>
      </c>
      <c r="D46" t="inlineStr">
        <is>
          <t>China</t>
        </is>
      </c>
      <c r="E46" t="n">
        <v>897549</v>
      </c>
      <c r="F46" t="n">
        <v>448775</v>
      </c>
      <c r="G46" t="n">
        <v>30.485</v>
      </c>
      <c r="H46" t="n">
        <v>0.012172</v>
      </c>
      <c r="I46">
        <f>F46*H46</f>
        <v/>
      </c>
      <c r="J46">
        <f>G46*H46</f>
        <v/>
      </c>
    </row>
    <row r="47">
      <c r="A47" t="inlineStr">
        <is>
          <t>bear</t>
        </is>
      </c>
      <c r="B47" t="n">
        <v>2027</v>
      </c>
      <c r="C47" t="inlineStr">
        <is>
          <t>organoid_cro_biobank</t>
        </is>
      </c>
      <c r="D47" t="inlineStr">
        <is>
          <t>Japan</t>
        </is>
      </c>
      <c r="E47" t="n">
        <v>526720</v>
      </c>
      <c r="F47" t="n">
        <v>263360</v>
      </c>
      <c r="G47" t="n">
        <v>8.3141</v>
      </c>
      <c r="H47" t="n">
        <v>0.012172</v>
      </c>
      <c r="I47">
        <f>F47*H47</f>
        <v/>
      </c>
      <c r="J47">
        <f>G47*H47</f>
        <v/>
      </c>
    </row>
    <row r="48">
      <c r="A48" t="inlineStr">
        <is>
          <t>bear</t>
        </is>
      </c>
      <c r="B48" t="n">
        <v>2027</v>
      </c>
      <c r="C48" t="inlineStr">
        <is>
          <t>organoid_cro_biobank</t>
        </is>
      </c>
      <c r="D48" t="inlineStr">
        <is>
          <t>Korea</t>
        </is>
      </c>
      <c r="E48" t="n">
        <v>415832</v>
      </c>
      <c r="F48" t="n">
        <v>207916</v>
      </c>
      <c r="G48" t="n">
        <v>6.9284</v>
      </c>
      <c r="H48" t="n">
        <v>0.012172</v>
      </c>
      <c r="I48">
        <f>F48*H48</f>
        <v/>
      </c>
      <c r="J48">
        <f>G48*H48</f>
        <v/>
      </c>
    </row>
    <row r="49">
      <c r="A49" t="inlineStr">
        <is>
          <t>bear</t>
        </is>
      </c>
      <c r="B49" t="n">
        <v>2027</v>
      </c>
      <c r="C49" t="inlineStr">
        <is>
          <t>organoid_cro_biobank</t>
        </is>
      </c>
      <c r="D49" t="inlineStr">
        <is>
          <t>RoW</t>
        </is>
      </c>
      <c r="E49" t="n">
        <v>517479</v>
      </c>
      <c r="F49" t="n">
        <v>258740</v>
      </c>
      <c r="G49" t="n">
        <v>9.6998</v>
      </c>
      <c r="H49" t="n">
        <v>0.012172</v>
      </c>
      <c r="I49">
        <f>F49*H49</f>
        <v/>
      </c>
      <c r="J49">
        <f>G49*H49</f>
        <v/>
      </c>
    </row>
    <row r="50">
      <c r="A50" t="inlineStr">
        <is>
          <t>bear</t>
        </is>
      </c>
      <c r="B50" t="n">
        <v>2027</v>
      </c>
      <c r="C50" t="inlineStr">
        <is>
          <t>clinical_dx_pdo</t>
        </is>
      </c>
      <c r="D50" t="inlineStr">
        <is>
          <t>US</t>
        </is>
      </c>
      <c r="E50" t="n">
        <v>348551</v>
      </c>
      <c r="F50" t="n">
        <v>156848</v>
      </c>
      <c r="G50" t="n">
        <v>3.528</v>
      </c>
      <c r="H50" t="n">
        <v>0.014629</v>
      </c>
      <c r="I50">
        <f>F50*H50</f>
        <v/>
      </c>
      <c r="J50">
        <f>G50*H50</f>
        <v/>
      </c>
    </row>
    <row r="51">
      <c r="A51" t="inlineStr">
        <is>
          <t>bear</t>
        </is>
      </c>
      <c r="B51" t="n">
        <v>2027</v>
      </c>
      <c r="C51" t="inlineStr">
        <is>
          <t>clinical_dx_pdo</t>
        </is>
      </c>
      <c r="D51" t="inlineStr">
        <is>
          <t>EU</t>
        </is>
      </c>
      <c r="E51" t="n">
        <v>209130</v>
      </c>
      <c r="F51" t="n">
        <v>94109</v>
      </c>
      <c r="G51" t="n">
        <v>2.1168</v>
      </c>
      <c r="H51" t="n">
        <v>0.014629</v>
      </c>
      <c r="I51">
        <f>F51*H51</f>
        <v/>
      </c>
      <c r="J51">
        <f>G51*H51</f>
        <v/>
      </c>
    </row>
    <row r="52">
      <c r="A52" t="inlineStr">
        <is>
          <t>bear</t>
        </is>
      </c>
      <c r="B52" t="n">
        <v>2027</v>
      </c>
      <c r="C52" t="inlineStr">
        <is>
          <t>clinical_dx_pdo</t>
        </is>
      </c>
      <c r="D52" t="inlineStr">
        <is>
          <t>China</t>
        </is>
      </c>
      <c r="E52" t="n">
        <v>276993</v>
      </c>
      <c r="F52" t="n">
        <v>124647</v>
      </c>
      <c r="G52" t="n">
        <v>6.3504</v>
      </c>
      <c r="H52" t="n">
        <v>0.014629</v>
      </c>
      <c r="I52">
        <f>F52*H52</f>
        <v/>
      </c>
      <c r="J52">
        <f>G52*H52</f>
        <v/>
      </c>
    </row>
    <row r="53">
      <c r="A53" t="inlineStr">
        <is>
          <t>bear</t>
        </is>
      </c>
      <c r="B53" t="n">
        <v>2027</v>
      </c>
      <c r="C53" t="inlineStr">
        <is>
          <t>clinical_dx_pdo</t>
        </is>
      </c>
      <c r="D53" t="inlineStr">
        <is>
          <t>Japan</t>
        </is>
      </c>
      <c r="E53" t="n">
        <v>79470</v>
      </c>
      <c r="F53" t="n">
        <v>35761</v>
      </c>
      <c r="G53" t="n">
        <v>0.8467</v>
      </c>
      <c r="H53" t="n">
        <v>0.014629</v>
      </c>
      <c r="I53">
        <f>F53*H53</f>
        <v/>
      </c>
      <c r="J53">
        <f>G53*H53</f>
        <v/>
      </c>
    </row>
    <row r="54">
      <c r="A54" t="inlineStr">
        <is>
          <t>bear</t>
        </is>
      </c>
      <c r="B54" t="n">
        <v>2027</v>
      </c>
      <c r="C54" t="inlineStr">
        <is>
          <t>clinical_dx_pdo</t>
        </is>
      </c>
      <c r="D54" t="inlineStr">
        <is>
          <t>Korea</t>
        </is>
      </c>
      <c r="E54" t="n">
        <v>62739</v>
      </c>
      <c r="F54" t="n">
        <v>28233</v>
      </c>
      <c r="G54" t="n">
        <v>0.7056</v>
      </c>
      <c r="H54" t="n">
        <v>0.014629</v>
      </c>
      <c r="I54">
        <f>F54*H54</f>
        <v/>
      </c>
      <c r="J54">
        <f>G54*H54</f>
        <v/>
      </c>
    </row>
    <row r="55">
      <c r="A55" t="inlineStr">
        <is>
          <t>bear</t>
        </is>
      </c>
      <c r="B55" t="n">
        <v>2027</v>
      </c>
      <c r="C55" t="inlineStr">
        <is>
          <t>clinical_dx_pdo</t>
        </is>
      </c>
      <c r="D55" t="inlineStr">
        <is>
          <t>RoW</t>
        </is>
      </c>
      <c r="E55" t="n">
        <v>44614</v>
      </c>
      <c r="F55" t="n">
        <v>20077</v>
      </c>
      <c r="G55" t="n">
        <v>0.5645</v>
      </c>
      <c r="H55" t="n">
        <v>0.014629</v>
      </c>
      <c r="I55">
        <f>F55*H55</f>
        <v/>
      </c>
      <c r="J55">
        <f>G55*H55</f>
        <v/>
      </c>
    </row>
    <row r="56">
      <c r="A56" t="inlineStr">
        <is>
          <t>bear</t>
        </is>
      </c>
      <c r="B56" t="n">
        <v>2027</v>
      </c>
      <c r="C56" t="inlineStr">
        <is>
          <t>regenerative_gmp</t>
        </is>
      </c>
      <c r="D56" t="inlineStr">
        <is>
          <t>US</t>
        </is>
      </c>
      <c r="E56" t="n">
        <v>33820</v>
      </c>
      <c r="F56" t="n">
        <v>33820</v>
      </c>
      <c r="G56" t="n">
        <v>0.3125</v>
      </c>
      <c r="H56" t="n">
        <v>0.245964</v>
      </c>
      <c r="I56">
        <f>F56*H56</f>
        <v/>
      </c>
      <c r="J56">
        <f>G56*H56</f>
        <v/>
      </c>
    </row>
    <row r="57">
      <c r="A57" t="inlineStr">
        <is>
          <t>bear</t>
        </is>
      </c>
      <c r="B57" t="n">
        <v>2027</v>
      </c>
      <c r="C57" t="inlineStr">
        <is>
          <t>regenerative_gmp</t>
        </is>
      </c>
      <c r="D57" t="inlineStr">
        <is>
          <t>EU</t>
        </is>
      </c>
      <c r="E57" t="n">
        <v>27056</v>
      </c>
      <c r="F57" t="n">
        <v>27056</v>
      </c>
      <c r="G57" t="n">
        <v>0.25</v>
      </c>
      <c r="H57" t="n">
        <v>0.245964</v>
      </c>
      <c r="I57">
        <f>F57*H57</f>
        <v/>
      </c>
      <c r="J57">
        <f>G57*H57</f>
        <v/>
      </c>
    </row>
    <row r="58">
      <c r="A58" t="inlineStr">
        <is>
          <t>bear</t>
        </is>
      </c>
      <c r="B58" t="n">
        <v>2027</v>
      </c>
      <c r="C58" t="inlineStr">
        <is>
          <t>regenerative_gmp</t>
        </is>
      </c>
      <c r="D58" t="inlineStr">
        <is>
          <t>China</t>
        </is>
      </c>
      <c r="E58" t="n">
        <v>5973</v>
      </c>
      <c r="F58" t="n">
        <v>5973</v>
      </c>
      <c r="G58" t="n">
        <v>0.125</v>
      </c>
      <c r="H58" t="n">
        <v>0.245964</v>
      </c>
      <c r="I58">
        <f>F58*H58</f>
        <v/>
      </c>
      <c r="J58">
        <f>G58*H58</f>
        <v/>
      </c>
    </row>
    <row r="59">
      <c r="A59" t="inlineStr">
        <is>
          <t>bear</t>
        </is>
      </c>
      <c r="B59" t="n">
        <v>2027</v>
      </c>
      <c r="C59" t="inlineStr">
        <is>
          <t>regenerative_gmp</t>
        </is>
      </c>
      <c r="D59" t="inlineStr">
        <is>
          <t>Japan</t>
        </is>
      </c>
      <c r="E59" t="n">
        <v>51406</v>
      </c>
      <c r="F59" t="n">
        <v>51406</v>
      </c>
      <c r="G59" t="n">
        <v>0.5</v>
      </c>
      <c r="H59" t="n">
        <v>0.245964</v>
      </c>
      <c r="I59">
        <f>F59*H59</f>
        <v/>
      </c>
      <c r="J59">
        <f>G59*H59</f>
        <v/>
      </c>
    </row>
    <row r="60">
      <c r="A60" t="inlineStr">
        <is>
          <t>bear</t>
        </is>
      </c>
      <c r="B60" t="n">
        <v>2027</v>
      </c>
      <c r="C60" t="inlineStr">
        <is>
          <t>regenerative_gmp</t>
        </is>
      </c>
      <c r="D60" t="inlineStr">
        <is>
          <t>Korea</t>
        </is>
      </c>
      <c r="E60" t="n">
        <v>6088</v>
      </c>
      <c r="F60" t="n">
        <v>6088</v>
      </c>
      <c r="G60" t="n">
        <v>0.0625</v>
      </c>
      <c r="H60" t="n">
        <v>0.245964</v>
      </c>
      <c r="I60">
        <f>F60*H60</f>
        <v/>
      </c>
      <c r="J60">
        <f>G60*H60</f>
        <v/>
      </c>
    </row>
    <row r="61">
      <c r="A61" t="inlineStr">
        <is>
          <t>bear</t>
        </is>
      </c>
      <c r="B61" t="n">
        <v>2027</v>
      </c>
      <c r="C61" t="inlineStr">
        <is>
          <t>regenerative_gmp</t>
        </is>
      </c>
      <c r="D61" t="inlineStr">
        <is>
          <t>RoW</t>
        </is>
      </c>
      <c r="E61" t="n">
        <v>0</v>
      </c>
      <c r="F61" t="n">
        <v>0</v>
      </c>
      <c r="G61" t="n">
        <v>0</v>
      </c>
      <c r="H61" t="n">
        <v>0.245964</v>
      </c>
      <c r="I61">
        <f>F61*H61</f>
        <v/>
      </c>
      <c r="J61">
        <f>G61*H61</f>
        <v/>
      </c>
    </row>
    <row r="62">
      <c r="A62" t="inlineStr">
        <is>
          <t>bear</t>
        </is>
      </c>
      <c r="B62" t="n">
        <v>2028</v>
      </c>
      <c r="C62" t="inlineStr">
        <is>
          <t>academic_ruo</t>
        </is>
      </c>
      <c r="D62" t="inlineStr">
        <is>
          <t>US</t>
        </is>
      </c>
      <c r="E62" t="n">
        <v>6625669</v>
      </c>
      <c r="F62" t="n">
        <v>4041658</v>
      </c>
      <c r="G62" t="n">
        <v>94.69750000000001</v>
      </c>
      <c r="H62" t="n">
        <v>0.035115</v>
      </c>
      <c r="I62">
        <f>F62*H62</f>
        <v/>
      </c>
      <c r="J62">
        <f>G62*H62</f>
        <v/>
      </c>
    </row>
    <row r="63">
      <c r="A63" t="inlineStr">
        <is>
          <t>bear</t>
        </is>
      </c>
      <c r="B63" t="n">
        <v>2028</v>
      </c>
      <c r="C63" t="inlineStr">
        <is>
          <t>academic_ruo</t>
        </is>
      </c>
      <c r="D63" t="inlineStr">
        <is>
          <t>EU</t>
        </is>
      </c>
      <c r="E63" t="n">
        <v>7305834</v>
      </c>
      <c r="F63" t="n">
        <v>4456559</v>
      </c>
      <c r="G63" t="n">
        <v>104.4188</v>
      </c>
      <c r="H63" t="n">
        <v>0.035115</v>
      </c>
      <c r="I63">
        <f>F63*H63</f>
        <v/>
      </c>
      <c r="J63">
        <f>G63*H63</f>
        <v/>
      </c>
    </row>
    <row r="64">
      <c r="A64" t="inlineStr">
        <is>
          <t>bear</t>
        </is>
      </c>
      <c r="B64" t="n">
        <v>2028</v>
      </c>
      <c r="C64" t="inlineStr">
        <is>
          <t>academic_ruo</t>
        </is>
      </c>
      <c r="D64" t="inlineStr">
        <is>
          <t>China</t>
        </is>
      </c>
      <c r="E64" t="n">
        <v>4178904</v>
      </c>
      <c r="F64" t="n">
        <v>2549131</v>
      </c>
      <c r="G64" t="n">
        <v>135.2822</v>
      </c>
      <c r="H64" t="n">
        <v>0.035115</v>
      </c>
      <c r="I64">
        <f>F64*H64</f>
        <v/>
      </c>
      <c r="J64">
        <f>G64*H64</f>
        <v/>
      </c>
    </row>
    <row r="65">
      <c r="A65" t="inlineStr">
        <is>
          <t>bear</t>
        </is>
      </c>
      <c r="B65" t="n">
        <v>2028</v>
      </c>
      <c r="C65" t="inlineStr">
        <is>
          <t>academic_ruo</t>
        </is>
      </c>
      <c r="D65" t="inlineStr">
        <is>
          <t>Japan</t>
        </is>
      </c>
      <c r="E65" t="n">
        <v>1450465</v>
      </c>
      <c r="F65" t="n">
        <v>884784</v>
      </c>
      <c r="G65" t="n">
        <v>21.8219</v>
      </c>
      <c r="H65" t="n">
        <v>0.035115</v>
      </c>
      <c r="I65">
        <f>F65*H65</f>
        <v/>
      </c>
      <c r="J65">
        <f>G65*H65</f>
        <v/>
      </c>
    </row>
    <row r="66">
      <c r="A66" t="inlineStr">
        <is>
          <t>bear</t>
        </is>
      </c>
      <c r="B66" t="n">
        <v>2028</v>
      </c>
      <c r="C66" t="inlineStr">
        <is>
          <t>academic_ruo</t>
        </is>
      </c>
      <c r="D66" t="inlineStr">
        <is>
          <t>Korea</t>
        </is>
      </c>
      <c r="E66" t="n">
        <v>1232860</v>
      </c>
      <c r="F66" t="n">
        <v>752044</v>
      </c>
      <c r="G66" t="n">
        <v>19.5785</v>
      </c>
      <c r="H66" t="n">
        <v>0.035115</v>
      </c>
      <c r="I66">
        <f>F66*H66</f>
        <v/>
      </c>
      <c r="J66">
        <f>G66*H66</f>
        <v/>
      </c>
    </row>
    <row r="67">
      <c r="A67" t="inlineStr">
        <is>
          <t>bear</t>
        </is>
      </c>
      <c r="B67" t="n">
        <v>2028</v>
      </c>
      <c r="C67" t="inlineStr">
        <is>
          <t>academic_ruo</t>
        </is>
      </c>
      <c r="D67" t="inlineStr">
        <is>
          <t>RoW</t>
        </is>
      </c>
      <c r="E67" t="n">
        <v>4429162</v>
      </c>
      <c r="F67" t="n">
        <v>2701789</v>
      </c>
      <c r="G67" t="n">
        <v>79.12990000000001</v>
      </c>
      <c r="H67" t="n">
        <v>0.035115</v>
      </c>
      <c r="I67">
        <f>F67*H67</f>
        <v/>
      </c>
      <c r="J67">
        <f>G67*H67</f>
        <v/>
      </c>
    </row>
    <row r="68">
      <c r="A68" t="inlineStr">
        <is>
          <t>bear</t>
        </is>
      </c>
      <c r="B68" t="n">
        <v>2028</v>
      </c>
      <c r="C68" t="inlineStr">
        <is>
          <t>pharma_preclinical_nam</t>
        </is>
      </c>
      <c r="D68" t="inlineStr">
        <is>
          <t>US</t>
        </is>
      </c>
      <c r="E68" t="n">
        <v>4670859</v>
      </c>
      <c r="F68" t="n">
        <v>2568972</v>
      </c>
      <c r="G68" t="n">
        <v>70.8141</v>
      </c>
      <c r="H68" t="n">
        <v>0.052535</v>
      </c>
      <c r="I68">
        <f>F68*H68</f>
        <v/>
      </c>
      <c r="J68">
        <f>G68*H68</f>
        <v/>
      </c>
    </row>
    <row r="69">
      <c r="A69" t="inlineStr">
        <is>
          <t>bear</t>
        </is>
      </c>
      <c r="B69" t="n">
        <v>2028</v>
      </c>
      <c r="C69" t="inlineStr">
        <is>
          <t>pharma_preclinical_nam</t>
        </is>
      </c>
      <c r="D69" t="inlineStr">
        <is>
          <t>EU</t>
        </is>
      </c>
      <c r="E69" t="n">
        <v>2594921</v>
      </c>
      <c r="F69" t="n">
        <v>1427207</v>
      </c>
      <c r="G69" t="n">
        <v>39.3411</v>
      </c>
      <c r="H69" t="n">
        <v>0.052535</v>
      </c>
      <c r="I69">
        <f>F69*H69</f>
        <v/>
      </c>
      <c r="J69">
        <f>G69*H69</f>
        <v/>
      </c>
    </row>
    <row r="70">
      <c r="A70" t="inlineStr">
        <is>
          <t>bear</t>
        </is>
      </c>
      <c r="B70" t="n">
        <v>2028</v>
      </c>
      <c r="C70" t="inlineStr">
        <is>
          <t>pharma_preclinical_nam</t>
        </is>
      </c>
      <c r="D70" t="inlineStr">
        <is>
          <t>China</t>
        </is>
      </c>
      <c r="E70" t="n">
        <v>687395</v>
      </c>
      <c r="F70" t="n">
        <v>378067</v>
      </c>
      <c r="G70" t="n">
        <v>23.6047</v>
      </c>
      <c r="H70" t="n">
        <v>0.052535</v>
      </c>
      <c r="I70">
        <f>F70*H70</f>
        <v/>
      </c>
      <c r="J70">
        <f>G70*H70</f>
        <v/>
      </c>
    </row>
    <row r="71">
      <c r="A71" t="inlineStr">
        <is>
          <t>bear</t>
        </is>
      </c>
      <c r="B71" t="n">
        <v>2028</v>
      </c>
      <c r="C71" t="inlineStr">
        <is>
          <t>pharma_preclinical_nam</t>
        </is>
      </c>
      <c r="D71" t="inlineStr">
        <is>
          <t>Japan</t>
        </is>
      </c>
      <c r="E71" t="n">
        <v>690249</v>
      </c>
      <c r="F71" t="n">
        <v>379637</v>
      </c>
      <c r="G71" t="n">
        <v>11.0155</v>
      </c>
      <c r="H71" t="n">
        <v>0.052535</v>
      </c>
      <c r="I71">
        <f>F71*H71</f>
        <v/>
      </c>
      <c r="J71">
        <f>G71*H71</f>
        <v/>
      </c>
    </row>
    <row r="72">
      <c r="A72" t="inlineStr">
        <is>
          <t>bear</t>
        </is>
      </c>
      <c r="B72" t="n">
        <v>2028</v>
      </c>
      <c r="C72" t="inlineStr">
        <is>
          <t>pharma_preclinical_nam</t>
        </is>
      </c>
      <c r="D72" t="inlineStr">
        <is>
          <t>Korea</t>
        </is>
      </c>
      <c r="E72" t="n">
        <v>280252</v>
      </c>
      <c r="F72" t="n">
        <v>154138</v>
      </c>
      <c r="G72" t="n">
        <v>4.7209</v>
      </c>
      <c r="H72" t="n">
        <v>0.052535</v>
      </c>
      <c r="I72">
        <f>F72*H72</f>
        <v/>
      </c>
      <c r="J72">
        <f>G72*H72</f>
        <v/>
      </c>
    </row>
    <row r="73">
      <c r="A73" t="inlineStr">
        <is>
          <t>bear</t>
        </is>
      </c>
      <c r="B73" t="n">
        <v>2028</v>
      </c>
      <c r="C73" t="inlineStr">
        <is>
          <t>pharma_preclinical_nam</t>
        </is>
      </c>
      <c r="D73" t="inlineStr">
        <is>
          <t>RoW</t>
        </is>
      </c>
      <c r="E73" t="n">
        <v>415187</v>
      </c>
      <c r="F73" t="n">
        <v>228353</v>
      </c>
      <c r="G73" t="n">
        <v>7.8682</v>
      </c>
      <c r="H73" t="n">
        <v>0.052535</v>
      </c>
      <c r="I73">
        <f>F73*H73</f>
        <v/>
      </c>
      <c r="J73">
        <f>G73*H73</f>
        <v/>
      </c>
    </row>
    <row r="74">
      <c r="A74" t="inlineStr">
        <is>
          <t>bear</t>
        </is>
      </c>
      <c r="B74" t="n">
        <v>2028</v>
      </c>
      <c r="C74" t="inlineStr">
        <is>
          <t>organoid_cro_biobank</t>
        </is>
      </c>
      <c r="D74" t="inlineStr">
        <is>
          <t>US</t>
        </is>
      </c>
      <c r="E74" t="n">
        <v>3832304</v>
      </c>
      <c r="F74" t="n">
        <v>1916152</v>
      </c>
      <c r="G74" t="n">
        <v>59.8615</v>
      </c>
      <c r="H74" t="n">
        <v>0.013538</v>
      </c>
      <c r="I74">
        <f>F74*H74</f>
        <v/>
      </c>
      <c r="J74">
        <f>G74*H74</f>
        <v/>
      </c>
    </row>
    <row r="75">
      <c r="A75" t="inlineStr">
        <is>
          <t>bear</t>
        </is>
      </c>
      <c r="B75" t="n">
        <v>2028</v>
      </c>
      <c r="C75" t="inlineStr">
        <is>
          <t>organoid_cro_biobank</t>
        </is>
      </c>
      <c r="D75" t="inlineStr">
        <is>
          <t>EU</t>
        </is>
      </c>
      <c r="E75" t="n">
        <v>1916152</v>
      </c>
      <c r="F75" t="n">
        <v>958076</v>
      </c>
      <c r="G75" t="n">
        <v>29.9308</v>
      </c>
      <c r="H75" t="n">
        <v>0.013538</v>
      </c>
      <c r="I75">
        <f>F75*H75</f>
        <v/>
      </c>
      <c r="J75">
        <f>G75*H75</f>
        <v/>
      </c>
    </row>
    <row r="76">
      <c r="A76" t="inlineStr">
        <is>
          <t>bear</t>
        </is>
      </c>
      <c r="B76" t="n">
        <v>2028</v>
      </c>
      <c r="C76" t="inlineStr">
        <is>
          <t>organoid_cro_biobank</t>
        </is>
      </c>
      <c r="D76" t="inlineStr">
        <is>
          <t>China</t>
        </is>
      </c>
      <c r="E76" t="n">
        <v>930579</v>
      </c>
      <c r="F76" t="n">
        <v>465290</v>
      </c>
      <c r="G76" t="n">
        <v>32.9238</v>
      </c>
      <c r="H76" t="n">
        <v>0.013538</v>
      </c>
      <c r="I76">
        <f>F76*H76</f>
        <v/>
      </c>
      <c r="J76">
        <f>G76*H76</f>
        <v/>
      </c>
    </row>
    <row r="77">
      <c r="A77" t="inlineStr">
        <is>
          <t>bear</t>
        </is>
      </c>
      <c r="B77" t="n">
        <v>2028</v>
      </c>
      <c r="C77" t="inlineStr">
        <is>
          <t>organoid_cro_biobank</t>
        </is>
      </c>
      <c r="D77" t="inlineStr">
        <is>
          <t>Japan</t>
        </is>
      </c>
      <c r="E77" t="n">
        <v>546103</v>
      </c>
      <c r="F77" t="n">
        <v>273052</v>
      </c>
      <c r="G77" t="n">
        <v>8.979200000000001</v>
      </c>
      <c r="H77" t="n">
        <v>0.013538</v>
      </c>
      <c r="I77">
        <f>F77*H77</f>
        <v/>
      </c>
      <c r="J77">
        <f>G77*H77</f>
        <v/>
      </c>
    </row>
    <row r="78">
      <c r="A78" t="inlineStr">
        <is>
          <t>bear</t>
        </is>
      </c>
      <c r="B78" t="n">
        <v>2028</v>
      </c>
      <c r="C78" t="inlineStr">
        <is>
          <t>organoid_cro_biobank</t>
        </is>
      </c>
      <c r="D78" t="inlineStr">
        <is>
          <t>Korea</t>
        </is>
      </c>
      <c r="E78" t="n">
        <v>431134</v>
      </c>
      <c r="F78" t="n">
        <v>215567</v>
      </c>
      <c r="G78" t="n">
        <v>7.4827</v>
      </c>
      <c r="H78" t="n">
        <v>0.013538</v>
      </c>
      <c r="I78">
        <f>F78*H78</f>
        <v/>
      </c>
      <c r="J78">
        <f>G78*H78</f>
        <v/>
      </c>
    </row>
    <row r="79">
      <c r="A79" t="inlineStr">
        <is>
          <t>bear</t>
        </is>
      </c>
      <c r="B79" t="n">
        <v>2028</v>
      </c>
      <c r="C79" t="inlineStr">
        <is>
          <t>organoid_cro_biobank</t>
        </is>
      </c>
      <c r="D79" t="inlineStr">
        <is>
          <t>RoW</t>
        </is>
      </c>
      <c r="E79" t="n">
        <v>536523</v>
      </c>
      <c r="F79" t="n">
        <v>268261</v>
      </c>
      <c r="G79" t="n">
        <v>10.4758</v>
      </c>
      <c r="H79" t="n">
        <v>0.013538</v>
      </c>
      <c r="I79">
        <f>F79*H79</f>
        <v/>
      </c>
      <c r="J79">
        <f>G79*H79</f>
        <v/>
      </c>
    </row>
    <row r="80">
      <c r="A80" t="inlineStr">
        <is>
          <t>bear</t>
        </is>
      </c>
      <c r="B80" t="n">
        <v>2028</v>
      </c>
      <c r="C80" t="inlineStr">
        <is>
          <t>clinical_dx_pdo</t>
        </is>
      </c>
      <c r="D80" t="inlineStr">
        <is>
          <t>US</t>
        </is>
      </c>
      <c r="E80" t="n">
        <v>374762</v>
      </c>
      <c r="F80" t="n">
        <v>168643</v>
      </c>
      <c r="G80" t="n">
        <v>3.9514</v>
      </c>
      <c r="H80" t="n">
        <v>0.016496</v>
      </c>
      <c r="I80">
        <f>F80*H80</f>
        <v/>
      </c>
      <c r="J80">
        <f>G80*H80</f>
        <v/>
      </c>
    </row>
    <row r="81">
      <c r="A81" t="inlineStr">
        <is>
          <t>bear</t>
        </is>
      </c>
      <c r="B81" t="n">
        <v>2028</v>
      </c>
      <c r="C81" t="inlineStr">
        <is>
          <t>clinical_dx_pdo</t>
        </is>
      </c>
      <c r="D81" t="inlineStr">
        <is>
          <t>EU</t>
        </is>
      </c>
      <c r="E81" t="n">
        <v>224857</v>
      </c>
      <c r="F81" t="n">
        <v>101186</v>
      </c>
      <c r="G81" t="n">
        <v>2.3708</v>
      </c>
      <c r="H81" t="n">
        <v>0.016496</v>
      </c>
      <c r="I81">
        <f>F81*H81</f>
        <v/>
      </c>
      <c r="J81">
        <f>G81*H81</f>
        <v/>
      </c>
    </row>
    <row r="82">
      <c r="A82" t="inlineStr">
        <is>
          <t>bear</t>
        </is>
      </c>
      <c r="B82" t="n">
        <v>2028</v>
      </c>
      <c r="C82" t="inlineStr">
        <is>
          <t>clinical_dx_pdo</t>
        </is>
      </c>
      <c r="D82" t="inlineStr">
        <is>
          <t>China</t>
        </is>
      </c>
      <c r="E82" t="n">
        <v>297823</v>
      </c>
      <c r="F82" t="n">
        <v>134020</v>
      </c>
      <c r="G82" t="n">
        <v>7.1124</v>
      </c>
      <c r="H82" t="n">
        <v>0.016496</v>
      </c>
      <c r="I82">
        <f>F82*H82</f>
        <v/>
      </c>
      <c r="J82">
        <f>G82*H82</f>
        <v/>
      </c>
    </row>
    <row r="83">
      <c r="A83" t="inlineStr">
        <is>
          <t>bear</t>
        </is>
      </c>
      <c r="B83" t="n">
        <v>2028</v>
      </c>
      <c r="C83" t="inlineStr">
        <is>
          <t>clinical_dx_pdo</t>
        </is>
      </c>
      <c r="D83" t="inlineStr">
        <is>
          <t>Japan</t>
        </is>
      </c>
      <c r="E83" t="n">
        <v>85446</v>
      </c>
      <c r="F83" t="n">
        <v>38451</v>
      </c>
      <c r="G83" t="n">
        <v>0.9483</v>
      </c>
      <c r="H83" t="n">
        <v>0.016496</v>
      </c>
      <c r="I83">
        <f>F83*H83</f>
        <v/>
      </c>
      <c r="J83">
        <f>G83*H83</f>
        <v/>
      </c>
    </row>
    <row r="84">
      <c r="A84" t="inlineStr">
        <is>
          <t>bear</t>
        </is>
      </c>
      <c r="B84" t="n">
        <v>2028</v>
      </c>
      <c r="C84" t="inlineStr">
        <is>
          <t>clinical_dx_pdo</t>
        </is>
      </c>
      <c r="D84" t="inlineStr">
        <is>
          <t>Korea</t>
        </is>
      </c>
      <c r="E84" t="n">
        <v>67457</v>
      </c>
      <c r="F84" t="n">
        <v>30356</v>
      </c>
      <c r="G84" t="n">
        <v>0.7903</v>
      </c>
      <c r="H84" t="n">
        <v>0.016496</v>
      </c>
      <c r="I84">
        <f>F84*H84</f>
        <v/>
      </c>
      <c r="J84">
        <f>G84*H84</f>
        <v/>
      </c>
    </row>
    <row r="85">
      <c r="A85" t="inlineStr">
        <is>
          <t>bear</t>
        </is>
      </c>
      <c r="B85" t="n">
        <v>2028</v>
      </c>
      <c r="C85" t="inlineStr">
        <is>
          <t>clinical_dx_pdo</t>
        </is>
      </c>
      <c r="D85" t="inlineStr">
        <is>
          <t>RoW</t>
        </is>
      </c>
      <c r="E85" t="n">
        <v>47969</v>
      </c>
      <c r="F85" t="n">
        <v>21586</v>
      </c>
      <c r="G85" t="n">
        <v>0.6322</v>
      </c>
      <c r="H85" t="n">
        <v>0.016496</v>
      </c>
      <c r="I85">
        <f>F85*H85</f>
        <v/>
      </c>
      <c r="J85">
        <f>G85*H85</f>
        <v/>
      </c>
    </row>
    <row r="86">
      <c r="A86" t="inlineStr">
        <is>
          <t>bear</t>
        </is>
      </c>
      <c r="B86" t="n">
        <v>2028</v>
      </c>
      <c r="C86" t="inlineStr">
        <is>
          <t>regenerative_gmp</t>
        </is>
      </c>
      <c r="D86" t="inlineStr">
        <is>
          <t>US</t>
        </is>
      </c>
      <c r="E86" t="n">
        <v>40584</v>
      </c>
      <c r="F86" t="n">
        <v>40584</v>
      </c>
      <c r="G86" t="n">
        <v>0.3906</v>
      </c>
      <c r="H86" t="n">
        <v>0.334053</v>
      </c>
      <c r="I86">
        <f>F86*H86</f>
        <v/>
      </c>
      <c r="J86">
        <f>G86*H86</f>
        <v/>
      </c>
    </row>
    <row r="87">
      <c r="A87" t="inlineStr">
        <is>
          <t>bear</t>
        </is>
      </c>
      <c r="B87" t="n">
        <v>2028</v>
      </c>
      <c r="C87" t="inlineStr">
        <is>
          <t>regenerative_gmp</t>
        </is>
      </c>
      <c r="D87" t="inlineStr">
        <is>
          <t>EU</t>
        </is>
      </c>
      <c r="E87" t="n">
        <v>32467</v>
      </c>
      <c r="F87" t="n">
        <v>32467</v>
      </c>
      <c r="G87" t="n">
        <v>0.3125</v>
      </c>
      <c r="H87" t="n">
        <v>0.334053</v>
      </c>
      <c r="I87">
        <f>F87*H87</f>
        <v/>
      </c>
      <c r="J87">
        <f>G87*H87</f>
        <v/>
      </c>
    </row>
    <row r="88">
      <c r="A88" t="inlineStr">
        <is>
          <t>bear</t>
        </is>
      </c>
      <c r="B88" t="n">
        <v>2028</v>
      </c>
      <c r="C88" t="inlineStr">
        <is>
          <t>regenerative_gmp</t>
        </is>
      </c>
      <c r="D88" t="inlineStr">
        <is>
          <t>China</t>
        </is>
      </c>
      <c r="E88" t="n">
        <v>7167</v>
      </c>
      <c r="F88" t="n">
        <v>7167</v>
      </c>
      <c r="G88" t="n">
        <v>0.1562</v>
      </c>
      <c r="H88" t="n">
        <v>0.334053</v>
      </c>
      <c r="I88">
        <f>F88*H88</f>
        <v/>
      </c>
      <c r="J88">
        <f>G88*H88</f>
        <v/>
      </c>
    </row>
    <row r="89">
      <c r="A89" t="inlineStr">
        <is>
          <t>bear</t>
        </is>
      </c>
      <c r="B89" t="n">
        <v>2028</v>
      </c>
      <c r="C89" t="inlineStr">
        <is>
          <t>regenerative_gmp</t>
        </is>
      </c>
      <c r="D89" t="inlineStr">
        <is>
          <t>Japan</t>
        </is>
      </c>
      <c r="E89" t="n">
        <v>61687</v>
      </c>
      <c r="F89" t="n">
        <v>61687</v>
      </c>
      <c r="G89" t="n">
        <v>0.625</v>
      </c>
      <c r="H89" t="n">
        <v>0.334053</v>
      </c>
      <c r="I89">
        <f>F89*H89</f>
        <v/>
      </c>
      <c r="J89">
        <f>G89*H89</f>
        <v/>
      </c>
    </row>
    <row r="90">
      <c r="A90" t="inlineStr">
        <is>
          <t>bear</t>
        </is>
      </c>
      <c r="B90" t="n">
        <v>2028</v>
      </c>
      <c r="C90" t="inlineStr">
        <is>
          <t>regenerative_gmp</t>
        </is>
      </c>
      <c r="D90" t="inlineStr">
        <is>
          <t>Korea</t>
        </is>
      </c>
      <c r="E90" t="n">
        <v>7305</v>
      </c>
      <c r="F90" t="n">
        <v>7305</v>
      </c>
      <c r="G90" t="n">
        <v>0.0781</v>
      </c>
      <c r="H90" t="n">
        <v>0.334053</v>
      </c>
      <c r="I90">
        <f>F90*H90</f>
        <v/>
      </c>
      <c r="J90">
        <f>G90*H90</f>
        <v/>
      </c>
    </row>
    <row r="91">
      <c r="A91" t="inlineStr">
        <is>
          <t>bear</t>
        </is>
      </c>
      <c r="B91" t="n">
        <v>2028</v>
      </c>
      <c r="C91" t="inlineStr">
        <is>
          <t>regenerative_gmp</t>
        </is>
      </c>
      <c r="D91" t="inlineStr">
        <is>
          <t>RoW</t>
        </is>
      </c>
      <c r="E91" t="n">
        <v>0</v>
      </c>
      <c r="F91" t="n">
        <v>0</v>
      </c>
      <c r="G91" t="n">
        <v>0</v>
      </c>
      <c r="H91" t="n">
        <v>0.334053</v>
      </c>
      <c r="I91">
        <f>F91*H91</f>
        <v/>
      </c>
      <c r="J91">
        <f>G91*H91</f>
        <v/>
      </c>
    </row>
    <row r="92">
      <c r="A92" t="inlineStr">
        <is>
          <t>bear</t>
        </is>
      </c>
      <c r="B92" t="n">
        <v>2029</v>
      </c>
      <c r="C92" t="inlineStr">
        <is>
          <t>academic_ruo</t>
        </is>
      </c>
      <c r="D92" t="inlineStr">
        <is>
          <t>US</t>
        </is>
      </c>
      <c r="E92" t="n">
        <v>6615068</v>
      </c>
      <c r="F92" t="n">
        <v>4035191</v>
      </c>
      <c r="G92" t="n">
        <v>98.4854</v>
      </c>
      <c r="H92" t="n">
        <v>0.04207</v>
      </c>
      <c r="I92">
        <f>F92*H92</f>
        <v/>
      </c>
      <c r="J92">
        <f>G92*H92</f>
        <v/>
      </c>
    </row>
    <row r="93">
      <c r="A93" t="inlineStr">
        <is>
          <t>bear</t>
        </is>
      </c>
      <c r="B93" t="n">
        <v>2029</v>
      </c>
      <c r="C93" t="inlineStr">
        <is>
          <t>academic_ruo</t>
        </is>
      </c>
      <c r="D93" t="inlineStr">
        <is>
          <t>EU</t>
        </is>
      </c>
      <c r="E93" t="n">
        <v>7294145</v>
      </c>
      <c r="F93" t="n">
        <v>4449429</v>
      </c>
      <c r="G93" t="n">
        <v>108.5955</v>
      </c>
      <c r="H93" t="n">
        <v>0.04207</v>
      </c>
      <c r="I93">
        <f>F93*H93</f>
        <v/>
      </c>
      <c r="J93">
        <f>G93*H93</f>
        <v/>
      </c>
    </row>
    <row r="94">
      <c r="A94" t="inlineStr">
        <is>
          <t>bear</t>
        </is>
      </c>
      <c r="B94" t="n">
        <v>2029</v>
      </c>
      <c r="C94" t="inlineStr">
        <is>
          <t>academic_ruo</t>
        </is>
      </c>
      <c r="D94" t="inlineStr">
        <is>
          <t>China</t>
        </is>
      </c>
      <c r="E94" t="n">
        <v>4172218</v>
      </c>
      <c r="F94" t="n">
        <v>2545053</v>
      </c>
      <c r="G94" t="n">
        <v>140.6934</v>
      </c>
      <c r="H94" t="n">
        <v>0.04207</v>
      </c>
      <c r="I94">
        <f>F94*H94</f>
        <v/>
      </c>
      <c r="J94">
        <f>G94*H94</f>
        <v/>
      </c>
    </row>
    <row r="95">
      <c r="A95" t="inlineStr">
        <is>
          <t>bear</t>
        </is>
      </c>
      <c r="B95" t="n">
        <v>2029</v>
      </c>
      <c r="C95" t="inlineStr">
        <is>
          <t>academic_ruo</t>
        </is>
      </c>
      <c r="D95" t="inlineStr">
        <is>
          <t>Japan</t>
        </is>
      </c>
      <c r="E95" t="n">
        <v>1448144</v>
      </c>
      <c r="F95" t="n">
        <v>883368</v>
      </c>
      <c r="G95" t="n">
        <v>22.6948</v>
      </c>
      <c r="H95" t="n">
        <v>0.04207</v>
      </c>
      <c r="I95">
        <f>F95*H95</f>
        <v/>
      </c>
      <c r="J95">
        <f>G95*H95</f>
        <v/>
      </c>
    </row>
    <row r="96">
      <c r="A96" t="inlineStr">
        <is>
          <t>bear</t>
        </is>
      </c>
      <c r="B96" t="n">
        <v>2029</v>
      </c>
      <c r="C96" t="inlineStr">
        <is>
          <t>academic_ruo</t>
        </is>
      </c>
      <c r="D96" t="inlineStr">
        <is>
          <t>Korea</t>
        </is>
      </c>
      <c r="E96" t="n">
        <v>1230887</v>
      </c>
      <c r="F96" t="n">
        <v>750841</v>
      </c>
      <c r="G96" t="n">
        <v>20.3617</v>
      </c>
      <c r="H96" t="n">
        <v>0.04207</v>
      </c>
      <c r="I96">
        <f>F96*H96</f>
        <v/>
      </c>
      <c r="J96">
        <f>G96*H96</f>
        <v/>
      </c>
    </row>
    <row r="97">
      <c r="A97" t="inlineStr">
        <is>
          <t>bear</t>
        </is>
      </c>
      <c r="B97" t="n">
        <v>2029</v>
      </c>
      <c r="C97" t="inlineStr">
        <is>
          <t>academic_ruo</t>
        </is>
      </c>
      <c r="D97" t="inlineStr">
        <is>
          <t>RoW</t>
        </is>
      </c>
      <c r="E97" t="n">
        <v>4422075</v>
      </c>
      <c r="F97" t="n">
        <v>2697466</v>
      </c>
      <c r="G97" t="n">
        <v>82.29510000000001</v>
      </c>
      <c r="H97" t="n">
        <v>0.04207</v>
      </c>
      <c r="I97">
        <f>F97*H97</f>
        <v/>
      </c>
      <c r="J97">
        <f>G97*H97</f>
        <v/>
      </c>
    </row>
    <row r="98">
      <c r="A98" t="inlineStr">
        <is>
          <t>bear</t>
        </is>
      </c>
      <c r="B98" t="n">
        <v>2029</v>
      </c>
      <c r="C98" t="inlineStr">
        <is>
          <t>pharma_preclinical_nam</t>
        </is>
      </c>
      <c r="D98" t="inlineStr">
        <is>
          <t>US</t>
        </is>
      </c>
      <c r="E98" t="n">
        <v>5871801</v>
      </c>
      <c r="F98" t="n">
        <v>3229491</v>
      </c>
      <c r="G98" t="n">
        <v>92.7306</v>
      </c>
      <c r="H98" t="n">
        <v>0.06521299999999999</v>
      </c>
      <c r="I98">
        <f>F98*H98</f>
        <v/>
      </c>
      <c r="J98">
        <f>G98*H98</f>
        <v/>
      </c>
    </row>
    <row r="99">
      <c r="A99" t="inlineStr">
        <is>
          <t>bear</t>
        </is>
      </c>
      <c r="B99" t="n">
        <v>2029</v>
      </c>
      <c r="C99" t="inlineStr">
        <is>
          <t>pharma_preclinical_nam</t>
        </is>
      </c>
      <c r="D99" t="inlineStr">
        <is>
          <t>EU</t>
        </is>
      </c>
      <c r="E99" t="n">
        <v>3262112</v>
      </c>
      <c r="F99" t="n">
        <v>1794162</v>
      </c>
      <c r="G99" t="n">
        <v>51.517</v>
      </c>
      <c r="H99" t="n">
        <v>0.06521299999999999</v>
      </c>
      <c r="I99">
        <f>F99*H99</f>
        <v/>
      </c>
      <c r="J99">
        <f>G99*H99</f>
        <v/>
      </c>
    </row>
    <row r="100">
      <c r="A100" t="inlineStr">
        <is>
          <t>bear</t>
        </is>
      </c>
      <c r="B100" t="n">
        <v>2029</v>
      </c>
      <c r="C100" t="inlineStr">
        <is>
          <t>pharma_preclinical_nam</t>
        </is>
      </c>
      <c r="D100" t="inlineStr">
        <is>
          <t>China</t>
        </is>
      </c>
      <c r="E100" t="n">
        <v>864133</v>
      </c>
      <c r="F100" t="n">
        <v>475273</v>
      </c>
      <c r="G100" t="n">
        <v>30.9102</v>
      </c>
      <c r="H100" t="n">
        <v>0.06521299999999999</v>
      </c>
      <c r="I100">
        <f>F100*H100</f>
        <v/>
      </c>
      <c r="J100">
        <f>G100*H100</f>
        <v/>
      </c>
    </row>
    <row r="101">
      <c r="A101" t="inlineStr">
        <is>
          <t>bear</t>
        </is>
      </c>
      <c r="B101" t="n">
        <v>2029</v>
      </c>
      <c r="C101" t="inlineStr">
        <is>
          <t>pharma_preclinical_nam</t>
        </is>
      </c>
      <c r="D101" t="inlineStr">
        <is>
          <t>Japan</t>
        </is>
      </c>
      <c r="E101" t="n">
        <v>867722</v>
      </c>
      <c r="F101" t="n">
        <v>477247</v>
      </c>
      <c r="G101" t="n">
        <v>14.4248</v>
      </c>
      <c r="H101" t="n">
        <v>0.06521299999999999</v>
      </c>
      <c r="I101">
        <f>F101*H101</f>
        <v/>
      </c>
      <c r="J101">
        <f>G101*H101</f>
        <v/>
      </c>
    </row>
    <row r="102">
      <c r="A102" t="inlineStr">
        <is>
          <t>bear</t>
        </is>
      </c>
      <c r="B102" t="n">
        <v>2029</v>
      </c>
      <c r="C102" t="inlineStr">
        <is>
          <t>pharma_preclinical_nam</t>
        </is>
      </c>
      <c r="D102" t="inlineStr">
        <is>
          <t>Korea</t>
        </is>
      </c>
      <c r="E102" t="n">
        <v>352308</v>
      </c>
      <c r="F102" t="n">
        <v>193769</v>
      </c>
      <c r="G102" t="n">
        <v>6.182</v>
      </c>
      <c r="H102" t="n">
        <v>0.06521299999999999</v>
      </c>
      <c r="I102">
        <f>F102*H102</f>
        <v/>
      </c>
      <c r="J102">
        <f>G102*H102</f>
        <v/>
      </c>
    </row>
    <row r="103">
      <c r="A103" t="inlineStr">
        <is>
          <t>bear</t>
        </is>
      </c>
      <c r="B103" t="n">
        <v>2029</v>
      </c>
      <c r="C103" t="inlineStr">
        <is>
          <t>pharma_preclinical_nam</t>
        </is>
      </c>
      <c r="D103" t="inlineStr">
        <is>
          <t>RoW</t>
        </is>
      </c>
      <c r="E103" t="n">
        <v>521938</v>
      </c>
      <c r="F103" t="n">
        <v>287066</v>
      </c>
      <c r="G103" t="n">
        <v>10.3034</v>
      </c>
      <c r="H103" t="n">
        <v>0.06521299999999999</v>
      </c>
      <c r="I103">
        <f>F103*H103</f>
        <v/>
      </c>
      <c r="J103">
        <f>G103*H103</f>
        <v/>
      </c>
    </row>
    <row r="104">
      <c r="A104" t="inlineStr">
        <is>
          <t>bear</t>
        </is>
      </c>
      <c r="B104" t="n">
        <v>2029</v>
      </c>
      <c r="C104" t="inlineStr">
        <is>
          <t>organoid_cro_biobank</t>
        </is>
      </c>
      <c r="D104" t="inlineStr">
        <is>
          <t>US</t>
        </is>
      </c>
      <c r="E104" t="n">
        <v>3973333</v>
      </c>
      <c r="F104" t="n">
        <v>1986666</v>
      </c>
      <c r="G104" t="n">
        <v>64.6504</v>
      </c>
      <c r="H104" t="n">
        <v>0.015052</v>
      </c>
      <c r="I104">
        <f>F104*H104</f>
        <v/>
      </c>
      <c r="J104">
        <f>G104*H104</f>
        <v/>
      </c>
    </row>
    <row r="105">
      <c r="A105" t="inlineStr">
        <is>
          <t>bear</t>
        </is>
      </c>
      <c r="B105" t="n">
        <v>2029</v>
      </c>
      <c r="C105" t="inlineStr">
        <is>
          <t>organoid_cro_biobank</t>
        </is>
      </c>
      <c r="D105" t="inlineStr">
        <is>
          <t>EU</t>
        </is>
      </c>
      <c r="E105" t="n">
        <v>1986666</v>
      </c>
      <c r="F105" t="n">
        <v>993333</v>
      </c>
      <c r="G105" t="n">
        <v>32.3252</v>
      </c>
      <c r="H105" t="n">
        <v>0.015052</v>
      </c>
      <c r="I105">
        <f>F105*H105</f>
        <v/>
      </c>
      <c r="J105">
        <f>G105*H105</f>
        <v/>
      </c>
    </row>
    <row r="106">
      <c r="A106" t="inlineStr">
        <is>
          <t>bear</t>
        </is>
      </c>
      <c r="B106" t="n">
        <v>2029</v>
      </c>
      <c r="C106" t="inlineStr">
        <is>
          <t>organoid_cro_biobank</t>
        </is>
      </c>
      <c r="D106" t="inlineStr">
        <is>
          <t>China</t>
        </is>
      </c>
      <c r="E106" t="n">
        <v>964825</v>
      </c>
      <c r="F106" t="n">
        <v>482412</v>
      </c>
      <c r="G106" t="n">
        <v>35.5577</v>
      </c>
      <c r="H106" t="n">
        <v>0.015052</v>
      </c>
      <c r="I106">
        <f>F106*H106</f>
        <v/>
      </c>
      <c r="J106">
        <f>G106*H106</f>
        <v/>
      </c>
    </row>
    <row r="107">
      <c r="A107" t="inlineStr">
        <is>
          <t>bear</t>
        </is>
      </c>
      <c r="B107" t="n">
        <v>2029</v>
      </c>
      <c r="C107" t="inlineStr">
        <is>
          <t>organoid_cro_biobank</t>
        </is>
      </c>
      <c r="D107" t="inlineStr">
        <is>
          <t>Japan</t>
        </is>
      </c>
      <c r="E107" t="n">
        <v>566200</v>
      </c>
      <c r="F107" t="n">
        <v>283100</v>
      </c>
      <c r="G107" t="n">
        <v>9.6976</v>
      </c>
      <c r="H107" t="n">
        <v>0.015052</v>
      </c>
      <c r="I107">
        <f>F107*H107</f>
        <v/>
      </c>
      <c r="J107">
        <f>G107*H107</f>
        <v/>
      </c>
    </row>
    <row r="108">
      <c r="A108" t="inlineStr">
        <is>
          <t>bear</t>
        </is>
      </c>
      <c r="B108" t="n">
        <v>2029</v>
      </c>
      <c r="C108" t="inlineStr">
        <is>
          <t>organoid_cro_biobank</t>
        </is>
      </c>
      <c r="D108" t="inlineStr">
        <is>
          <t>Korea</t>
        </is>
      </c>
      <c r="E108" t="n">
        <v>447000</v>
      </c>
      <c r="F108" t="n">
        <v>223500</v>
      </c>
      <c r="G108" t="n">
        <v>8.081300000000001</v>
      </c>
      <c r="H108" t="n">
        <v>0.015052</v>
      </c>
      <c r="I108">
        <f>F108*H108</f>
        <v/>
      </c>
      <c r="J108">
        <f>G108*H108</f>
        <v/>
      </c>
    </row>
    <row r="109">
      <c r="A109" t="inlineStr">
        <is>
          <t>bear</t>
        </is>
      </c>
      <c r="B109" t="n">
        <v>2029</v>
      </c>
      <c r="C109" t="inlineStr">
        <is>
          <t>organoid_cro_biobank</t>
        </is>
      </c>
      <c r="D109" t="inlineStr">
        <is>
          <t>RoW</t>
        </is>
      </c>
      <c r="E109" t="n">
        <v>556267</v>
      </c>
      <c r="F109" t="n">
        <v>278133</v>
      </c>
      <c r="G109" t="n">
        <v>11.3138</v>
      </c>
      <c r="H109" t="n">
        <v>0.015052</v>
      </c>
      <c r="I109">
        <f>F109*H109</f>
        <v/>
      </c>
      <c r="J109">
        <f>G109*H109</f>
        <v/>
      </c>
    </row>
    <row r="110">
      <c r="A110" t="inlineStr">
        <is>
          <t>bear</t>
        </is>
      </c>
      <c r="B110" t="n">
        <v>2029</v>
      </c>
      <c r="C110" t="inlineStr">
        <is>
          <t>clinical_dx_pdo</t>
        </is>
      </c>
      <c r="D110" t="inlineStr">
        <is>
          <t>US</t>
        </is>
      </c>
      <c r="E110" t="n">
        <v>402944</v>
      </c>
      <c r="F110" t="n">
        <v>181325</v>
      </c>
      <c r="G110" t="n">
        <v>4.4255</v>
      </c>
      <c r="H110" t="n">
        <v>0.018593</v>
      </c>
      <c r="I110">
        <f>F110*H110</f>
        <v/>
      </c>
      <c r="J110">
        <f>G110*H110</f>
        <v/>
      </c>
    </row>
    <row r="111">
      <c r="A111" t="inlineStr">
        <is>
          <t>bear</t>
        </is>
      </c>
      <c r="B111" t="n">
        <v>2029</v>
      </c>
      <c r="C111" t="inlineStr">
        <is>
          <t>clinical_dx_pdo</t>
        </is>
      </c>
      <c r="D111" t="inlineStr">
        <is>
          <t>EU</t>
        </is>
      </c>
      <c r="E111" t="n">
        <v>241766</v>
      </c>
      <c r="F111" t="n">
        <v>108795</v>
      </c>
      <c r="G111" t="n">
        <v>2.6553</v>
      </c>
      <c r="H111" t="n">
        <v>0.018593</v>
      </c>
      <c r="I111">
        <f>F111*H111</f>
        <v/>
      </c>
      <c r="J111">
        <f>G111*H111</f>
        <v/>
      </c>
    </row>
    <row r="112">
      <c r="A112" t="inlineStr">
        <is>
          <t>bear</t>
        </is>
      </c>
      <c r="B112" t="n">
        <v>2029</v>
      </c>
      <c r="C112" t="inlineStr">
        <is>
          <t>clinical_dx_pdo</t>
        </is>
      </c>
      <c r="D112" t="inlineStr">
        <is>
          <t>China</t>
        </is>
      </c>
      <c r="E112" t="n">
        <v>320219</v>
      </c>
      <c r="F112" t="n">
        <v>144099</v>
      </c>
      <c r="G112" t="n">
        <v>7.9659</v>
      </c>
      <c r="H112" t="n">
        <v>0.018593</v>
      </c>
      <c r="I112">
        <f>F112*H112</f>
        <v/>
      </c>
      <c r="J112">
        <f>G112*H112</f>
        <v/>
      </c>
    </row>
    <row r="113">
      <c r="A113" t="inlineStr">
        <is>
          <t>bear</t>
        </is>
      </c>
      <c r="B113" t="n">
        <v>2029</v>
      </c>
      <c r="C113" t="inlineStr">
        <is>
          <t>clinical_dx_pdo</t>
        </is>
      </c>
      <c r="D113" t="inlineStr">
        <is>
          <t>Japan</t>
        </is>
      </c>
      <c r="E113" t="n">
        <v>91871</v>
      </c>
      <c r="F113" t="n">
        <v>41342</v>
      </c>
      <c r="G113" t="n">
        <v>1.0621</v>
      </c>
      <c r="H113" t="n">
        <v>0.018593</v>
      </c>
      <c r="I113">
        <f>F113*H113</f>
        <v/>
      </c>
      <c r="J113">
        <f>G113*H113</f>
        <v/>
      </c>
    </row>
    <row r="114">
      <c r="A114" t="inlineStr">
        <is>
          <t>bear</t>
        </is>
      </c>
      <c r="B114" t="n">
        <v>2029</v>
      </c>
      <c r="C114" t="inlineStr">
        <is>
          <t>clinical_dx_pdo</t>
        </is>
      </c>
      <c r="D114" t="inlineStr">
        <is>
          <t>Korea</t>
        </is>
      </c>
      <c r="E114" t="n">
        <v>72530</v>
      </c>
      <c r="F114" t="n">
        <v>32638</v>
      </c>
      <c r="G114" t="n">
        <v>0.8851</v>
      </c>
      <c r="H114" t="n">
        <v>0.018593</v>
      </c>
      <c r="I114">
        <f>F114*H114</f>
        <v/>
      </c>
      <c r="J114">
        <f>G114*H114</f>
        <v/>
      </c>
    </row>
    <row r="115">
      <c r="A115" t="inlineStr">
        <is>
          <t>bear</t>
        </is>
      </c>
      <c r="B115" t="n">
        <v>2029</v>
      </c>
      <c r="C115" t="inlineStr">
        <is>
          <t>clinical_dx_pdo</t>
        </is>
      </c>
      <c r="D115" t="inlineStr">
        <is>
          <t>RoW</t>
        </is>
      </c>
      <c r="E115" t="n">
        <v>51577</v>
      </c>
      <c r="F115" t="n">
        <v>23210</v>
      </c>
      <c r="G115" t="n">
        <v>0.7081</v>
      </c>
      <c r="H115" t="n">
        <v>0.018593</v>
      </c>
      <c r="I115">
        <f>F115*H115</f>
        <v/>
      </c>
      <c r="J115">
        <f>G115*H115</f>
        <v/>
      </c>
    </row>
    <row r="116">
      <c r="A116" t="inlineStr">
        <is>
          <t>bear</t>
        </is>
      </c>
      <c r="B116" t="n">
        <v>2029</v>
      </c>
      <c r="C116" t="inlineStr">
        <is>
          <t>regenerative_gmp</t>
        </is>
      </c>
      <c r="D116" t="inlineStr">
        <is>
          <t>US</t>
        </is>
      </c>
      <c r="E116" t="n">
        <v>48701</v>
      </c>
      <c r="F116" t="n">
        <v>48701</v>
      </c>
      <c r="G116" t="n">
        <v>0.4883</v>
      </c>
      <c r="H116" t="n">
        <v>0.43547</v>
      </c>
      <c r="I116">
        <f>F116*H116</f>
        <v/>
      </c>
      <c r="J116">
        <f>G116*H116</f>
        <v/>
      </c>
    </row>
    <row r="117">
      <c r="A117" t="inlineStr">
        <is>
          <t>bear</t>
        </is>
      </c>
      <c r="B117" t="n">
        <v>2029</v>
      </c>
      <c r="C117" t="inlineStr">
        <is>
          <t>regenerative_gmp</t>
        </is>
      </c>
      <c r="D117" t="inlineStr">
        <is>
          <t>EU</t>
        </is>
      </c>
      <c r="E117" t="n">
        <v>38960</v>
      </c>
      <c r="F117" t="n">
        <v>38960</v>
      </c>
      <c r="G117" t="n">
        <v>0.3906</v>
      </c>
      <c r="H117" t="n">
        <v>0.43547</v>
      </c>
      <c r="I117">
        <f>F117*H117</f>
        <v/>
      </c>
      <c r="J117">
        <f>G117*H117</f>
        <v/>
      </c>
    </row>
    <row r="118">
      <c r="A118" t="inlineStr">
        <is>
          <t>bear</t>
        </is>
      </c>
      <c r="B118" t="n">
        <v>2029</v>
      </c>
      <c r="C118" t="inlineStr">
        <is>
          <t>regenerative_gmp</t>
        </is>
      </c>
      <c r="D118" t="inlineStr">
        <is>
          <t>China</t>
        </is>
      </c>
      <c r="E118" t="n">
        <v>8601</v>
      </c>
      <c r="F118" t="n">
        <v>8601</v>
      </c>
      <c r="G118" t="n">
        <v>0.1953</v>
      </c>
      <c r="H118" t="n">
        <v>0.43547</v>
      </c>
      <c r="I118">
        <f>F118*H118</f>
        <v/>
      </c>
      <c r="J118">
        <f>G118*H118</f>
        <v/>
      </c>
    </row>
    <row r="119">
      <c r="A119" t="inlineStr">
        <is>
          <t>bear</t>
        </is>
      </c>
      <c r="B119" t="n">
        <v>2029</v>
      </c>
      <c r="C119" t="inlineStr">
        <is>
          <t>regenerative_gmp</t>
        </is>
      </c>
      <c r="D119" t="inlineStr">
        <is>
          <t>Japan</t>
        </is>
      </c>
      <c r="E119" t="n">
        <v>74025</v>
      </c>
      <c r="F119" t="n">
        <v>74025</v>
      </c>
      <c r="G119" t="n">
        <v>0.7812</v>
      </c>
      <c r="H119" t="n">
        <v>0.43547</v>
      </c>
      <c r="I119">
        <f>F119*H119</f>
        <v/>
      </c>
      <c r="J119">
        <f>G119*H119</f>
        <v/>
      </c>
    </row>
    <row r="120">
      <c r="A120" t="inlineStr">
        <is>
          <t>bear</t>
        </is>
      </c>
      <c r="B120" t="n">
        <v>2029</v>
      </c>
      <c r="C120" t="inlineStr">
        <is>
          <t>regenerative_gmp</t>
        </is>
      </c>
      <c r="D120" t="inlineStr">
        <is>
          <t>Korea</t>
        </is>
      </c>
      <c r="E120" t="n">
        <v>8766</v>
      </c>
      <c r="F120" t="n">
        <v>8766</v>
      </c>
      <c r="G120" t="n">
        <v>0.0977</v>
      </c>
      <c r="H120" t="n">
        <v>0.43547</v>
      </c>
      <c r="I120">
        <f>F120*H120</f>
        <v/>
      </c>
      <c r="J120">
        <f>G120*H120</f>
        <v/>
      </c>
    </row>
    <row r="121">
      <c r="A121" t="inlineStr">
        <is>
          <t>bear</t>
        </is>
      </c>
      <c r="B121" t="n">
        <v>2029</v>
      </c>
      <c r="C121" t="inlineStr">
        <is>
          <t>regenerative_gmp</t>
        </is>
      </c>
      <c r="D121" t="inlineStr">
        <is>
          <t>RoW</t>
        </is>
      </c>
      <c r="E121" t="n">
        <v>0</v>
      </c>
      <c r="F121" t="n">
        <v>0</v>
      </c>
      <c r="G121" t="n">
        <v>0</v>
      </c>
      <c r="H121" t="n">
        <v>0.43547</v>
      </c>
      <c r="I121">
        <f>F121*H121</f>
        <v/>
      </c>
      <c r="J121">
        <f>G121*H121</f>
        <v/>
      </c>
    </row>
    <row r="122">
      <c r="A122" t="inlineStr">
        <is>
          <t>bear</t>
        </is>
      </c>
      <c r="B122" t="n">
        <v>2030</v>
      </c>
      <c r="C122" t="inlineStr">
        <is>
          <t>academic_ruo</t>
        </is>
      </c>
      <c r="D122" t="inlineStr">
        <is>
          <t>US</t>
        </is>
      </c>
      <c r="E122" t="n">
        <v>6604484</v>
      </c>
      <c r="F122" t="n">
        <v>4028735</v>
      </c>
      <c r="G122" t="n">
        <v>102.4248</v>
      </c>
      <c r="H122" t="n">
        <v>0.050275</v>
      </c>
      <c r="I122">
        <f>F122*H122</f>
        <v/>
      </c>
      <c r="J122">
        <f>G122*H122</f>
        <v/>
      </c>
    </row>
    <row r="123">
      <c r="A123" t="inlineStr">
        <is>
          <t>bear</t>
        </is>
      </c>
      <c r="B123" t="n">
        <v>2030</v>
      </c>
      <c r="C123" t="inlineStr">
        <is>
          <t>academic_ruo</t>
        </is>
      </c>
      <c r="D123" t="inlineStr">
        <is>
          <t>EU</t>
        </is>
      </c>
      <c r="E123" t="n">
        <v>7282475</v>
      </c>
      <c r="F123" t="n">
        <v>4442309</v>
      </c>
      <c r="G123" t="n">
        <v>112.9394</v>
      </c>
      <c r="H123" t="n">
        <v>0.050275</v>
      </c>
      <c r="I123">
        <f>F123*H123</f>
        <v/>
      </c>
      <c r="J123">
        <f>G123*H123</f>
        <v/>
      </c>
    </row>
    <row r="124">
      <c r="A124" t="inlineStr">
        <is>
          <t>bear</t>
        </is>
      </c>
      <c r="B124" t="n">
        <v>2030</v>
      </c>
      <c r="C124" t="inlineStr">
        <is>
          <t>academic_ruo</t>
        </is>
      </c>
      <c r="D124" t="inlineStr">
        <is>
          <t>China</t>
        </is>
      </c>
      <c r="E124" t="n">
        <v>4165542</v>
      </c>
      <c r="F124" t="n">
        <v>2540981</v>
      </c>
      <c r="G124" t="n">
        <v>146.3212</v>
      </c>
      <c r="H124" t="n">
        <v>0.050275</v>
      </c>
      <c r="I124">
        <f>F124*H124</f>
        <v/>
      </c>
      <c r="J124">
        <f>G124*H124</f>
        <v/>
      </c>
    </row>
    <row r="125">
      <c r="A125" t="inlineStr">
        <is>
          <t>bear</t>
        </is>
      </c>
      <c r="B125" t="n">
        <v>2030</v>
      </c>
      <c r="C125" t="inlineStr">
        <is>
          <t>academic_ruo</t>
        </is>
      </c>
      <c r="D125" t="inlineStr">
        <is>
          <t>Japan</t>
        </is>
      </c>
      <c r="E125" t="n">
        <v>1445827</v>
      </c>
      <c r="F125" t="n">
        <v>881955</v>
      </c>
      <c r="G125" t="n">
        <v>23.6026</v>
      </c>
      <c r="H125" t="n">
        <v>0.050275</v>
      </c>
      <c r="I125">
        <f>F125*H125</f>
        <v/>
      </c>
      <c r="J125">
        <f>G125*H125</f>
        <v/>
      </c>
    </row>
    <row r="126">
      <c r="A126" t="inlineStr">
        <is>
          <t>bear</t>
        </is>
      </c>
      <c r="B126" t="n">
        <v>2030</v>
      </c>
      <c r="C126" t="inlineStr">
        <is>
          <t>academic_ruo</t>
        </is>
      </c>
      <c r="D126" t="inlineStr">
        <is>
          <t>Korea</t>
        </is>
      </c>
      <c r="E126" t="n">
        <v>1228918</v>
      </c>
      <c r="F126" t="n">
        <v>749640</v>
      </c>
      <c r="G126" t="n">
        <v>21.1761</v>
      </c>
      <c r="H126" t="n">
        <v>0.050275</v>
      </c>
      <c r="I126">
        <f>F126*H126</f>
        <v/>
      </c>
      <c r="J126">
        <f>G126*H126</f>
        <v/>
      </c>
    </row>
    <row r="127">
      <c r="A127" t="inlineStr">
        <is>
          <t>bear</t>
        </is>
      </c>
      <c r="B127" t="n">
        <v>2030</v>
      </c>
      <c r="C127" t="inlineStr">
        <is>
          <t>academic_ruo</t>
        </is>
      </c>
      <c r="D127" t="inlineStr">
        <is>
          <t>RoW</t>
        </is>
      </c>
      <c r="E127" t="n">
        <v>4415000</v>
      </c>
      <c r="F127" t="n">
        <v>2693150</v>
      </c>
      <c r="G127" t="n">
        <v>85.5869</v>
      </c>
      <c r="H127" t="n">
        <v>0.050275</v>
      </c>
      <c r="I127">
        <f>F127*H127</f>
        <v/>
      </c>
      <c r="J127">
        <f>G127*H127</f>
        <v/>
      </c>
    </row>
    <row r="128">
      <c r="A128" t="inlineStr">
        <is>
          <t>bear</t>
        </is>
      </c>
      <c r="B128" t="n">
        <v>2030</v>
      </c>
      <c r="C128" t="inlineStr">
        <is>
          <t>pharma_preclinical_nam</t>
        </is>
      </c>
      <c r="D128" t="inlineStr">
        <is>
          <t>US</t>
        </is>
      </c>
      <c r="E128" t="n">
        <v>7381523</v>
      </c>
      <c r="F128" t="n">
        <v>4059838</v>
      </c>
      <c r="G128" t="n">
        <v>121.4301</v>
      </c>
      <c r="H128" t="n">
        <v>0.080482</v>
      </c>
      <c r="I128">
        <f>F128*H128</f>
        <v/>
      </c>
      <c r="J128">
        <f>G128*H128</f>
        <v/>
      </c>
    </row>
    <row r="129">
      <c r="A129" t="inlineStr">
        <is>
          <t>bear</t>
        </is>
      </c>
      <c r="B129" t="n">
        <v>2030</v>
      </c>
      <c r="C129" t="inlineStr">
        <is>
          <t>pharma_preclinical_nam</t>
        </is>
      </c>
      <c r="D129" t="inlineStr">
        <is>
          <t>EU</t>
        </is>
      </c>
      <c r="E129" t="n">
        <v>4100846</v>
      </c>
      <c r="F129" t="n">
        <v>2255465</v>
      </c>
      <c r="G129" t="n">
        <v>67.46120000000001</v>
      </c>
      <c r="H129" t="n">
        <v>0.080482</v>
      </c>
      <c r="I129">
        <f>F129*H129</f>
        <v/>
      </c>
      <c r="J129">
        <f>G129*H129</f>
        <v/>
      </c>
    </row>
    <row r="130">
      <c r="A130" t="inlineStr">
        <is>
          <t>bear</t>
        </is>
      </c>
      <c r="B130" t="n">
        <v>2030</v>
      </c>
      <c r="C130" t="inlineStr">
        <is>
          <t>pharma_preclinical_nam</t>
        </is>
      </c>
      <c r="D130" t="inlineStr">
        <is>
          <t>China</t>
        </is>
      </c>
      <c r="E130" t="n">
        <v>1086314</v>
      </c>
      <c r="F130" t="n">
        <v>597473</v>
      </c>
      <c r="G130" t="n">
        <v>40.4767</v>
      </c>
      <c r="H130" t="n">
        <v>0.080482</v>
      </c>
      <c r="I130">
        <f>F130*H130</f>
        <v/>
      </c>
      <c r="J130">
        <f>G130*H130</f>
        <v/>
      </c>
    </row>
    <row r="131">
      <c r="A131" t="inlineStr">
        <is>
          <t>bear</t>
        </is>
      </c>
      <c r="B131" t="n">
        <v>2030</v>
      </c>
      <c r="C131" t="inlineStr">
        <is>
          <t>pharma_preclinical_nam</t>
        </is>
      </c>
      <c r="D131" t="inlineStr">
        <is>
          <t>Japan</t>
        </is>
      </c>
      <c r="E131" t="n">
        <v>1090825</v>
      </c>
      <c r="F131" t="n">
        <v>599954</v>
      </c>
      <c r="G131" t="n">
        <v>18.8891</v>
      </c>
      <c r="H131" t="n">
        <v>0.080482</v>
      </c>
      <c r="I131">
        <f>F131*H131</f>
        <v/>
      </c>
      <c r="J131">
        <f>G131*H131</f>
        <v/>
      </c>
    </row>
    <row r="132">
      <c r="A132" t="inlineStr">
        <is>
          <t>bear</t>
        </is>
      </c>
      <c r="B132" t="n">
        <v>2030</v>
      </c>
      <c r="C132" t="inlineStr">
        <is>
          <t>pharma_preclinical_nam</t>
        </is>
      </c>
      <c r="D132" t="inlineStr">
        <is>
          <t>Korea</t>
        </is>
      </c>
      <c r="E132" t="n">
        <v>442891</v>
      </c>
      <c r="F132" t="n">
        <v>243590</v>
      </c>
      <c r="G132" t="n">
        <v>8.0953</v>
      </c>
      <c r="H132" t="n">
        <v>0.080482</v>
      </c>
      <c r="I132">
        <f>F132*H132</f>
        <v/>
      </c>
      <c r="J132">
        <f>G132*H132</f>
        <v/>
      </c>
    </row>
    <row r="133">
      <c r="A133" t="inlineStr">
        <is>
          <t>bear</t>
        </is>
      </c>
      <c r="B133" t="n">
        <v>2030</v>
      </c>
      <c r="C133" t="inlineStr">
        <is>
          <t>pharma_preclinical_nam</t>
        </is>
      </c>
      <c r="D133" t="inlineStr">
        <is>
          <t>RoW</t>
        </is>
      </c>
      <c r="E133" t="n">
        <v>656135</v>
      </c>
      <c r="F133" t="n">
        <v>360874</v>
      </c>
      <c r="G133" t="n">
        <v>13.4922</v>
      </c>
      <c r="H133" t="n">
        <v>0.080482</v>
      </c>
      <c r="I133">
        <f>F133*H133</f>
        <v/>
      </c>
      <c r="J133">
        <f>G133*H133</f>
        <v/>
      </c>
    </row>
    <row r="134">
      <c r="A134" t="inlineStr">
        <is>
          <t>bear</t>
        </is>
      </c>
      <c r="B134" t="n">
        <v>2030</v>
      </c>
      <c r="C134" t="inlineStr">
        <is>
          <t>organoid_cro_biobank</t>
        </is>
      </c>
      <c r="D134" t="inlineStr">
        <is>
          <t>US</t>
        </is>
      </c>
      <c r="E134" t="n">
        <v>4119551</v>
      </c>
      <c r="F134" t="n">
        <v>2059776</v>
      </c>
      <c r="G134" t="n">
        <v>69.82250000000001</v>
      </c>
      <c r="H134" t="n">
        <v>0.016731</v>
      </c>
      <c r="I134">
        <f>F134*H134</f>
        <v/>
      </c>
      <c r="J134">
        <f>G134*H134</f>
        <v/>
      </c>
    </row>
    <row r="135">
      <c r="A135" t="inlineStr">
        <is>
          <t>bear</t>
        </is>
      </c>
      <c r="B135" t="n">
        <v>2030</v>
      </c>
      <c r="C135" t="inlineStr">
        <is>
          <t>organoid_cro_biobank</t>
        </is>
      </c>
      <c r="D135" t="inlineStr">
        <is>
          <t>EU</t>
        </is>
      </c>
      <c r="E135" t="n">
        <v>2059776</v>
      </c>
      <c r="F135" t="n">
        <v>1029888</v>
      </c>
      <c r="G135" t="n">
        <v>34.9112</v>
      </c>
      <c r="H135" t="n">
        <v>0.016731</v>
      </c>
      <c r="I135">
        <f>F135*H135</f>
        <v/>
      </c>
      <c r="J135">
        <f>G135*H135</f>
        <v/>
      </c>
    </row>
    <row r="136">
      <c r="A136" t="inlineStr">
        <is>
          <t>bear</t>
        </is>
      </c>
      <c r="B136" t="n">
        <v>2030</v>
      </c>
      <c r="C136" t="inlineStr">
        <is>
          <t>organoid_cro_biobank</t>
        </is>
      </c>
      <c r="D136" t="inlineStr">
        <is>
          <t>China</t>
        </is>
      </c>
      <c r="E136" t="n">
        <v>1000330</v>
      </c>
      <c r="F136" t="n">
        <v>500165</v>
      </c>
      <c r="G136" t="n">
        <v>38.4024</v>
      </c>
      <c r="H136" t="n">
        <v>0.016731</v>
      </c>
      <c r="I136">
        <f>F136*H136</f>
        <v/>
      </c>
      <c r="J136">
        <f>G136*H136</f>
        <v/>
      </c>
    </row>
    <row r="137">
      <c r="A137" t="inlineStr">
        <is>
          <t>bear</t>
        </is>
      </c>
      <c r="B137" t="n">
        <v>2030</v>
      </c>
      <c r="C137" t="inlineStr">
        <is>
          <t>organoid_cro_biobank</t>
        </is>
      </c>
      <c r="D137" t="inlineStr">
        <is>
          <t>Japan</t>
        </is>
      </c>
      <c r="E137" t="n">
        <v>587036</v>
      </c>
      <c r="F137" t="n">
        <v>293518</v>
      </c>
      <c r="G137" t="n">
        <v>10.4734</v>
      </c>
      <c r="H137" t="n">
        <v>0.016731</v>
      </c>
      <c r="I137">
        <f>F137*H137</f>
        <v/>
      </c>
      <c r="J137">
        <f>G137*H137</f>
        <v/>
      </c>
    </row>
    <row r="138">
      <c r="A138" t="inlineStr">
        <is>
          <t>bear</t>
        </is>
      </c>
      <c r="B138" t="n">
        <v>2030</v>
      </c>
      <c r="C138" t="inlineStr">
        <is>
          <t>organoid_cro_biobank</t>
        </is>
      </c>
      <c r="D138" t="inlineStr">
        <is>
          <t>Korea</t>
        </is>
      </c>
      <c r="E138" t="n">
        <v>463450</v>
      </c>
      <c r="F138" t="n">
        <v>231725</v>
      </c>
      <c r="G138" t="n">
        <v>8.7278</v>
      </c>
      <c r="H138" t="n">
        <v>0.016731</v>
      </c>
      <c r="I138">
        <f>F138*H138</f>
        <v/>
      </c>
      <c r="J138">
        <f>G138*H138</f>
        <v/>
      </c>
    </row>
    <row r="139">
      <c r="A139" t="inlineStr">
        <is>
          <t>bear</t>
        </is>
      </c>
      <c r="B139" t="n">
        <v>2030</v>
      </c>
      <c r="C139" t="inlineStr">
        <is>
          <t>organoid_cro_biobank</t>
        </is>
      </c>
      <c r="D139" t="inlineStr">
        <is>
          <t>RoW</t>
        </is>
      </c>
      <c r="E139" t="n">
        <v>576737</v>
      </c>
      <c r="F139" t="n">
        <v>288369</v>
      </c>
      <c r="G139" t="n">
        <v>12.2189</v>
      </c>
      <c r="H139" t="n">
        <v>0.016731</v>
      </c>
      <c r="I139">
        <f>F139*H139</f>
        <v/>
      </c>
      <c r="J139">
        <f>G139*H139</f>
        <v/>
      </c>
    </row>
    <row r="140">
      <c r="A140" t="inlineStr">
        <is>
          <t>bear</t>
        </is>
      </c>
      <c r="B140" t="n">
        <v>2030</v>
      </c>
      <c r="C140" t="inlineStr">
        <is>
          <t>clinical_dx_pdo</t>
        </is>
      </c>
      <c r="D140" t="inlineStr">
        <is>
          <t>US</t>
        </is>
      </c>
      <c r="E140" t="n">
        <v>433245</v>
      </c>
      <c r="F140" t="n">
        <v>194960</v>
      </c>
      <c r="G140" t="n">
        <v>4.9566</v>
      </c>
      <c r="H140" t="n">
        <v>0.020947</v>
      </c>
      <c r="I140">
        <f>F140*H140</f>
        <v/>
      </c>
      <c r="J140">
        <f>G140*H140</f>
        <v/>
      </c>
    </row>
    <row r="141">
      <c r="A141" t="inlineStr">
        <is>
          <t>bear</t>
        </is>
      </c>
      <c r="B141" t="n">
        <v>2030</v>
      </c>
      <c r="C141" t="inlineStr">
        <is>
          <t>clinical_dx_pdo</t>
        </is>
      </c>
      <c r="D141" t="inlineStr">
        <is>
          <t>EU</t>
        </is>
      </c>
      <c r="E141" t="n">
        <v>259947</v>
      </c>
      <c r="F141" t="n">
        <v>116976</v>
      </c>
      <c r="G141" t="n">
        <v>2.974</v>
      </c>
      <c r="H141" t="n">
        <v>0.020947</v>
      </c>
      <c r="I141">
        <f>F141*H141</f>
        <v/>
      </c>
      <c r="J141">
        <f>G141*H141</f>
        <v/>
      </c>
    </row>
    <row r="142">
      <c r="A142" t="inlineStr">
        <is>
          <t>bear</t>
        </is>
      </c>
      <c r="B142" t="n">
        <v>2030</v>
      </c>
      <c r="C142" t="inlineStr">
        <is>
          <t>clinical_dx_pdo</t>
        </is>
      </c>
      <c r="D142" t="inlineStr">
        <is>
          <t>China</t>
        </is>
      </c>
      <c r="E142" t="n">
        <v>344300</v>
      </c>
      <c r="F142" t="n">
        <v>154935</v>
      </c>
      <c r="G142" t="n">
        <v>8.921900000000001</v>
      </c>
      <c r="H142" t="n">
        <v>0.020947</v>
      </c>
      <c r="I142">
        <f>F142*H142</f>
        <v/>
      </c>
      <c r="J142">
        <f>G142*H142</f>
        <v/>
      </c>
    </row>
    <row r="143">
      <c r="A143" t="inlineStr">
        <is>
          <t>bear</t>
        </is>
      </c>
      <c r="B143" t="n">
        <v>2030</v>
      </c>
      <c r="C143" t="inlineStr">
        <is>
          <t>clinical_dx_pdo</t>
        </is>
      </c>
      <c r="D143" t="inlineStr">
        <is>
          <t>Japan</t>
        </is>
      </c>
      <c r="E143" t="n">
        <v>98780</v>
      </c>
      <c r="F143" t="n">
        <v>44451</v>
      </c>
      <c r="G143" t="n">
        <v>1.1896</v>
      </c>
      <c r="H143" t="n">
        <v>0.020947</v>
      </c>
      <c r="I143">
        <f>F143*H143</f>
        <v/>
      </c>
      <c r="J143">
        <f>G143*H143</f>
        <v/>
      </c>
    </row>
    <row r="144">
      <c r="A144" t="inlineStr">
        <is>
          <t>bear</t>
        </is>
      </c>
      <c r="B144" t="n">
        <v>2030</v>
      </c>
      <c r="C144" t="inlineStr">
        <is>
          <t>clinical_dx_pdo</t>
        </is>
      </c>
      <c r="D144" t="inlineStr">
        <is>
          <t>Korea</t>
        </is>
      </c>
      <c r="E144" t="n">
        <v>77984</v>
      </c>
      <c r="F144" t="n">
        <v>35093</v>
      </c>
      <c r="G144" t="n">
        <v>0.9913</v>
      </c>
      <c r="H144" t="n">
        <v>0.020947</v>
      </c>
      <c r="I144">
        <f>F144*H144</f>
        <v/>
      </c>
      <c r="J144">
        <f>G144*H144</f>
        <v/>
      </c>
    </row>
    <row r="145">
      <c r="A145" t="inlineStr">
        <is>
          <t>bear</t>
        </is>
      </c>
      <c r="B145" t="n">
        <v>2030</v>
      </c>
      <c r="C145" t="inlineStr">
        <is>
          <t>clinical_dx_pdo</t>
        </is>
      </c>
      <c r="D145" t="inlineStr">
        <is>
          <t>RoW</t>
        </is>
      </c>
      <c r="E145" t="n">
        <v>55455</v>
      </c>
      <c r="F145" t="n">
        <v>24955</v>
      </c>
      <c r="G145" t="n">
        <v>0.7931</v>
      </c>
      <c r="H145" t="n">
        <v>0.020947</v>
      </c>
      <c r="I145">
        <f>F145*H145</f>
        <v/>
      </c>
      <c r="J145">
        <f>G145*H145</f>
        <v/>
      </c>
    </row>
    <row r="146">
      <c r="A146" t="inlineStr">
        <is>
          <t>bear</t>
        </is>
      </c>
      <c r="B146" t="n">
        <v>2030</v>
      </c>
      <c r="C146" t="inlineStr">
        <is>
          <t>regenerative_gmp</t>
        </is>
      </c>
      <c r="D146" t="inlineStr">
        <is>
          <t>US</t>
        </is>
      </c>
      <c r="E146" t="n">
        <v>58441</v>
      </c>
      <c r="F146" t="n">
        <v>58441</v>
      </c>
      <c r="G146" t="n">
        <v>0.6104000000000001</v>
      </c>
      <c r="H146" t="n">
        <v>0.542591</v>
      </c>
      <c r="I146">
        <f>F146*H146</f>
        <v/>
      </c>
      <c r="J146">
        <f>G146*H146</f>
        <v/>
      </c>
    </row>
    <row r="147">
      <c r="A147" t="inlineStr">
        <is>
          <t>bear</t>
        </is>
      </c>
      <c r="B147" t="n">
        <v>2030</v>
      </c>
      <c r="C147" t="inlineStr">
        <is>
          <t>regenerative_gmp</t>
        </is>
      </c>
      <c r="D147" t="inlineStr">
        <is>
          <t>EU</t>
        </is>
      </c>
      <c r="E147" t="n">
        <v>46753</v>
      </c>
      <c r="F147" t="n">
        <v>46753</v>
      </c>
      <c r="G147" t="n">
        <v>0.4883</v>
      </c>
      <c r="H147" t="n">
        <v>0.542591</v>
      </c>
      <c r="I147">
        <f>F147*H147</f>
        <v/>
      </c>
      <c r="J147">
        <f>G147*H147</f>
        <v/>
      </c>
    </row>
    <row r="148">
      <c r="A148" t="inlineStr">
        <is>
          <t>bear</t>
        </is>
      </c>
      <c r="B148" t="n">
        <v>2030</v>
      </c>
      <c r="C148" t="inlineStr">
        <is>
          <t>regenerative_gmp</t>
        </is>
      </c>
      <c r="D148" t="inlineStr">
        <is>
          <t>China</t>
        </is>
      </c>
      <c r="E148" t="n">
        <v>10321</v>
      </c>
      <c r="F148" t="n">
        <v>10321</v>
      </c>
      <c r="G148" t="n">
        <v>0.2441</v>
      </c>
      <c r="H148" t="n">
        <v>0.542591</v>
      </c>
      <c r="I148">
        <f>F148*H148</f>
        <v/>
      </c>
      <c r="J148">
        <f>G148*H148</f>
        <v/>
      </c>
    </row>
    <row r="149">
      <c r="A149" t="inlineStr">
        <is>
          <t>bear</t>
        </is>
      </c>
      <c r="B149" t="n">
        <v>2030</v>
      </c>
      <c r="C149" t="inlineStr">
        <is>
          <t>regenerative_gmp</t>
        </is>
      </c>
      <c r="D149" t="inlineStr">
        <is>
          <t>Japan</t>
        </is>
      </c>
      <c r="E149" t="n">
        <v>88830</v>
      </c>
      <c r="F149" t="n">
        <v>88830</v>
      </c>
      <c r="G149" t="n">
        <v>0.9766</v>
      </c>
      <c r="H149" t="n">
        <v>0.542591</v>
      </c>
      <c r="I149">
        <f>F149*H149</f>
        <v/>
      </c>
      <c r="J149">
        <f>G149*H149</f>
        <v/>
      </c>
    </row>
    <row r="150">
      <c r="A150" t="inlineStr">
        <is>
          <t>bear</t>
        </is>
      </c>
      <c r="B150" t="n">
        <v>2030</v>
      </c>
      <c r="C150" t="inlineStr">
        <is>
          <t>regenerative_gmp</t>
        </is>
      </c>
      <c r="D150" t="inlineStr">
        <is>
          <t>Korea</t>
        </is>
      </c>
      <c r="E150" t="n">
        <v>10519</v>
      </c>
      <c r="F150" t="n">
        <v>10519</v>
      </c>
      <c r="G150" t="n">
        <v>0.1221</v>
      </c>
      <c r="H150" t="n">
        <v>0.542591</v>
      </c>
      <c r="I150">
        <f>F150*H150</f>
        <v/>
      </c>
      <c r="J150">
        <f>G150*H150</f>
        <v/>
      </c>
    </row>
    <row r="151">
      <c r="A151" t="inlineStr">
        <is>
          <t>bear</t>
        </is>
      </c>
      <c r="B151" t="n">
        <v>2030</v>
      </c>
      <c r="C151" t="inlineStr">
        <is>
          <t>regenerative_gmp</t>
        </is>
      </c>
      <c r="D151" t="inlineStr">
        <is>
          <t>RoW</t>
        </is>
      </c>
      <c r="E151" t="n">
        <v>0</v>
      </c>
      <c r="F151" t="n">
        <v>0</v>
      </c>
      <c r="G151" t="n">
        <v>0</v>
      </c>
      <c r="H151" t="n">
        <v>0.542591</v>
      </c>
      <c r="I151">
        <f>F151*H151</f>
        <v/>
      </c>
      <c r="J151">
        <f>G151*H151</f>
        <v/>
      </c>
    </row>
    <row r="152">
      <c r="A152" t="inlineStr">
        <is>
          <t>bear</t>
        </is>
      </c>
      <c r="B152" t="n">
        <v>2031</v>
      </c>
      <c r="C152" t="inlineStr">
        <is>
          <t>academic_ruo</t>
        </is>
      </c>
      <c r="D152" t="inlineStr">
        <is>
          <t>US</t>
        </is>
      </c>
      <c r="E152" t="n">
        <v>6467110</v>
      </c>
      <c r="F152" t="n">
        <v>3944937</v>
      </c>
      <c r="G152" t="n">
        <v>104.4733</v>
      </c>
      <c r="H152" t="n">
        <v>0.059902</v>
      </c>
      <c r="I152">
        <f>F152*H152</f>
        <v/>
      </c>
      <c r="J152">
        <f>G152*H152</f>
        <v/>
      </c>
    </row>
    <row r="153">
      <c r="A153" t="inlineStr">
        <is>
          <t>bear</t>
        </is>
      </c>
      <c r="B153" t="n">
        <v>2031</v>
      </c>
      <c r="C153" t="inlineStr">
        <is>
          <t>academic_ruo</t>
        </is>
      </c>
      <c r="D153" t="inlineStr">
        <is>
          <t>EU</t>
        </is>
      </c>
      <c r="E153" t="n">
        <v>7130999</v>
      </c>
      <c r="F153" t="n">
        <v>4349909</v>
      </c>
      <c r="G153" t="n">
        <v>115.1982</v>
      </c>
      <c r="H153" t="n">
        <v>0.059902</v>
      </c>
      <c r="I153">
        <f>F153*H153</f>
        <v/>
      </c>
      <c r="J153">
        <f>G153*H153</f>
        <v/>
      </c>
    </row>
    <row r="154">
      <c r="A154" t="inlineStr">
        <is>
          <t>bear</t>
        </is>
      </c>
      <c r="B154" t="n">
        <v>2031</v>
      </c>
      <c r="C154" t="inlineStr">
        <is>
          <t>academic_ruo</t>
        </is>
      </c>
      <c r="D154" t="inlineStr">
        <is>
          <t>China</t>
        </is>
      </c>
      <c r="E154" t="n">
        <v>4078899</v>
      </c>
      <c r="F154" t="n">
        <v>2488128</v>
      </c>
      <c r="G154" t="n">
        <v>149.2476</v>
      </c>
      <c r="H154" t="n">
        <v>0.059902</v>
      </c>
      <c r="I154">
        <f>F154*H154</f>
        <v/>
      </c>
      <c r="J154">
        <f>G154*H154</f>
        <v/>
      </c>
    </row>
    <row r="155">
      <c r="A155" t="inlineStr">
        <is>
          <t>bear</t>
        </is>
      </c>
      <c r="B155" t="n">
        <v>2031</v>
      </c>
      <c r="C155" t="inlineStr">
        <is>
          <t>academic_ruo</t>
        </is>
      </c>
      <c r="D155" t="inlineStr">
        <is>
          <t>Japan</t>
        </is>
      </c>
      <c r="E155" t="n">
        <v>1415754</v>
      </c>
      <c r="F155" t="n">
        <v>863610</v>
      </c>
      <c r="G155" t="n">
        <v>24.0746</v>
      </c>
      <c r="H155" t="n">
        <v>0.059902</v>
      </c>
      <c r="I155">
        <f>F155*H155</f>
        <v/>
      </c>
      <c r="J155">
        <f>G155*H155</f>
        <v/>
      </c>
    </row>
    <row r="156">
      <c r="A156" t="inlineStr">
        <is>
          <t>bear</t>
        </is>
      </c>
      <c r="B156" t="n">
        <v>2031</v>
      </c>
      <c r="C156" t="inlineStr">
        <is>
          <t>academic_ruo</t>
        </is>
      </c>
      <c r="D156" t="inlineStr">
        <is>
          <t>Korea</t>
        </is>
      </c>
      <c r="E156" t="n">
        <v>1203356</v>
      </c>
      <c r="F156" t="n">
        <v>734047</v>
      </c>
      <c r="G156" t="n">
        <v>21.5997</v>
      </c>
      <c r="H156" t="n">
        <v>0.059902</v>
      </c>
      <c r="I156">
        <f>F156*H156</f>
        <v/>
      </c>
      <c r="J156">
        <f>G156*H156</f>
        <v/>
      </c>
    </row>
    <row r="157">
      <c r="A157" t="inlineStr">
        <is>
          <t>bear</t>
        </is>
      </c>
      <c r="B157" t="n">
        <v>2031</v>
      </c>
      <c r="C157" t="inlineStr">
        <is>
          <t>academic_ruo</t>
        </is>
      </c>
      <c r="D157" t="inlineStr">
        <is>
          <t>RoW</t>
        </is>
      </c>
      <c r="E157" t="n">
        <v>4323168</v>
      </c>
      <c r="F157" t="n">
        <v>2637133</v>
      </c>
      <c r="G157" t="n">
        <v>87.29859999999999</v>
      </c>
      <c r="H157" t="n">
        <v>0.059902</v>
      </c>
      <c r="I157">
        <f>F157*H157</f>
        <v/>
      </c>
      <c r="J157">
        <f>G157*H157</f>
        <v/>
      </c>
    </row>
    <row r="158">
      <c r="A158" t="inlineStr">
        <is>
          <t>bear</t>
        </is>
      </c>
      <c r="B158" t="n">
        <v>2031</v>
      </c>
      <c r="C158" t="inlineStr">
        <is>
          <t>pharma_preclinical_nam</t>
        </is>
      </c>
      <c r="D158" t="inlineStr">
        <is>
          <t>US</t>
        </is>
      </c>
      <c r="E158" t="n">
        <v>8165674</v>
      </c>
      <c r="F158" t="n">
        <v>4491121</v>
      </c>
      <c r="G158" t="n">
        <v>139.9269</v>
      </c>
      <c r="H158" t="n">
        <v>0.09864100000000001</v>
      </c>
      <c r="I158">
        <f>F158*H158</f>
        <v/>
      </c>
      <c r="J158">
        <f>G158*H158</f>
        <v/>
      </c>
    </row>
    <row r="159">
      <c r="A159" t="inlineStr">
        <is>
          <t>bear</t>
        </is>
      </c>
      <c r="B159" t="n">
        <v>2031</v>
      </c>
      <c r="C159" t="inlineStr">
        <is>
          <t>pharma_preclinical_nam</t>
        </is>
      </c>
      <c r="D159" t="inlineStr">
        <is>
          <t>EU</t>
        </is>
      </c>
      <c r="E159" t="n">
        <v>4536486</v>
      </c>
      <c r="F159" t="n">
        <v>2495067</v>
      </c>
      <c r="G159" t="n">
        <v>77.7371</v>
      </c>
      <c r="H159" t="n">
        <v>0.09864100000000001</v>
      </c>
      <c r="I159">
        <f>F159*H159</f>
        <v/>
      </c>
      <c r="J159">
        <f>G159*H159</f>
        <v/>
      </c>
    </row>
    <row r="160">
      <c r="A160" t="inlineStr">
        <is>
          <t>bear</t>
        </is>
      </c>
      <c r="B160" t="n">
        <v>2031</v>
      </c>
      <c r="C160" t="inlineStr">
        <is>
          <t>pharma_preclinical_nam</t>
        </is>
      </c>
      <c r="D160" t="inlineStr">
        <is>
          <t>China</t>
        </is>
      </c>
      <c r="E160" t="n">
        <v>1201715</v>
      </c>
      <c r="F160" t="n">
        <v>660943</v>
      </c>
      <c r="G160" t="n">
        <v>46.6423</v>
      </c>
      <c r="H160" t="n">
        <v>0.09864100000000001</v>
      </c>
      <c r="I160">
        <f>F160*H160</f>
        <v/>
      </c>
      <c r="J160">
        <f>G160*H160</f>
        <v/>
      </c>
    </row>
    <row r="161">
      <c r="A161" t="inlineStr">
        <is>
          <t>bear</t>
        </is>
      </c>
      <c r="B161" t="n">
        <v>2031</v>
      </c>
      <c r="C161" t="inlineStr">
        <is>
          <t>pharma_preclinical_nam</t>
        </is>
      </c>
      <c r="D161" t="inlineStr">
        <is>
          <t>Japan</t>
        </is>
      </c>
      <c r="E161" t="n">
        <v>1206705</v>
      </c>
      <c r="F161" t="n">
        <v>663688</v>
      </c>
      <c r="G161" t="n">
        <v>21.7664</v>
      </c>
      <c r="H161" t="n">
        <v>0.09864100000000001</v>
      </c>
      <c r="I161">
        <f>F161*H161</f>
        <v/>
      </c>
      <c r="J161">
        <f>G161*H161</f>
        <v/>
      </c>
    </row>
    <row r="162">
      <c r="A162" t="inlineStr">
        <is>
          <t>bear</t>
        </is>
      </c>
      <c r="B162" t="n">
        <v>2031</v>
      </c>
      <c r="C162" t="inlineStr">
        <is>
          <t>pharma_preclinical_nam</t>
        </is>
      </c>
      <c r="D162" t="inlineStr">
        <is>
          <t>Korea</t>
        </is>
      </c>
      <c r="E162" t="n">
        <v>489940</v>
      </c>
      <c r="F162" t="n">
        <v>269467</v>
      </c>
      <c r="G162" t="n">
        <v>9.3285</v>
      </c>
      <c r="H162" t="n">
        <v>0.09864100000000001</v>
      </c>
      <c r="I162">
        <f>F162*H162</f>
        <v/>
      </c>
      <c r="J162">
        <f>G162*H162</f>
        <v/>
      </c>
    </row>
    <row r="163">
      <c r="A163" t="inlineStr">
        <is>
          <t>bear</t>
        </is>
      </c>
      <c r="B163" t="n">
        <v>2031</v>
      </c>
      <c r="C163" t="inlineStr">
        <is>
          <t>pharma_preclinical_nam</t>
        </is>
      </c>
      <c r="D163" t="inlineStr">
        <is>
          <t>RoW</t>
        </is>
      </c>
      <c r="E163" t="n">
        <v>725838</v>
      </c>
      <c r="F163" t="n">
        <v>399211</v>
      </c>
      <c r="G163" t="n">
        <v>15.5474</v>
      </c>
      <c r="H163" t="n">
        <v>0.09864100000000001</v>
      </c>
      <c r="I163">
        <f>F163*H163</f>
        <v/>
      </c>
      <c r="J163">
        <f>G163*H163</f>
        <v/>
      </c>
    </row>
    <row r="164">
      <c r="A164" t="inlineStr">
        <is>
          <t>bear</t>
        </is>
      </c>
      <c r="B164" t="n">
        <v>2031</v>
      </c>
      <c r="C164" t="inlineStr">
        <is>
          <t>organoid_cro_biobank</t>
        </is>
      </c>
      <c r="D164" t="inlineStr">
        <is>
          <t>US</t>
        </is>
      </c>
      <c r="E164" t="n">
        <v>4112960</v>
      </c>
      <c r="F164" t="n">
        <v>2056480</v>
      </c>
      <c r="G164" t="n">
        <v>72.61539999999999</v>
      </c>
      <c r="H164" t="n">
        <v>0.018591</v>
      </c>
      <c r="I164">
        <f>F164*H164</f>
        <v/>
      </c>
      <c r="J164">
        <f>G164*H164</f>
        <v/>
      </c>
    </row>
    <row r="165">
      <c r="A165" t="inlineStr">
        <is>
          <t>bear</t>
        </is>
      </c>
      <c r="B165" t="n">
        <v>2031</v>
      </c>
      <c r="C165" t="inlineStr">
        <is>
          <t>organoid_cro_biobank</t>
        </is>
      </c>
      <c r="D165" t="inlineStr">
        <is>
          <t>EU</t>
        </is>
      </c>
      <c r="E165" t="n">
        <v>2056480</v>
      </c>
      <c r="F165" t="n">
        <v>1028240</v>
      </c>
      <c r="G165" t="n">
        <v>36.3077</v>
      </c>
      <c r="H165" t="n">
        <v>0.018591</v>
      </c>
      <c r="I165">
        <f>F165*H165</f>
        <v/>
      </c>
      <c r="J165">
        <f>G165*H165</f>
        <v/>
      </c>
    </row>
    <row r="166">
      <c r="A166" t="inlineStr">
        <is>
          <t>bear</t>
        </is>
      </c>
      <c r="B166" t="n">
        <v>2031</v>
      </c>
      <c r="C166" t="inlineStr">
        <is>
          <t>organoid_cro_biobank</t>
        </is>
      </c>
      <c r="D166" t="inlineStr">
        <is>
          <t>China</t>
        </is>
      </c>
      <c r="E166" t="n">
        <v>998730</v>
      </c>
      <c r="F166" t="n">
        <v>499365</v>
      </c>
      <c r="G166" t="n">
        <v>39.9385</v>
      </c>
      <c r="H166" t="n">
        <v>0.018591</v>
      </c>
      <c r="I166">
        <f>F166*H166</f>
        <v/>
      </c>
      <c r="J166">
        <f>G166*H166</f>
        <v/>
      </c>
    </row>
    <row r="167">
      <c r="A167" t="inlineStr">
        <is>
          <t>bear</t>
        </is>
      </c>
      <c r="B167" t="n">
        <v>2031</v>
      </c>
      <c r="C167" t="inlineStr">
        <is>
          <t>organoid_cro_biobank</t>
        </is>
      </c>
      <c r="D167" t="inlineStr">
        <is>
          <t>Japan</t>
        </is>
      </c>
      <c r="E167" t="n">
        <v>586097</v>
      </c>
      <c r="F167" t="n">
        <v>293048</v>
      </c>
      <c r="G167" t="n">
        <v>10.8923</v>
      </c>
      <c r="H167" t="n">
        <v>0.018591</v>
      </c>
      <c r="I167">
        <f>F167*H167</f>
        <v/>
      </c>
      <c r="J167">
        <f>G167*H167</f>
        <v/>
      </c>
    </row>
    <row r="168">
      <c r="A168" t="inlineStr">
        <is>
          <t>bear</t>
        </is>
      </c>
      <c r="B168" t="n">
        <v>2031</v>
      </c>
      <c r="C168" t="inlineStr">
        <is>
          <t>organoid_cro_biobank</t>
        </is>
      </c>
      <c r="D168" t="inlineStr">
        <is>
          <t>Korea</t>
        </is>
      </c>
      <c r="E168" t="n">
        <v>462708</v>
      </c>
      <c r="F168" t="n">
        <v>231354</v>
      </c>
      <c r="G168" t="n">
        <v>9.0769</v>
      </c>
      <c r="H168" t="n">
        <v>0.018591</v>
      </c>
      <c r="I168">
        <f>F168*H168</f>
        <v/>
      </c>
      <c r="J168">
        <f>G168*H168</f>
        <v/>
      </c>
    </row>
    <row r="169">
      <c r="A169" t="inlineStr">
        <is>
          <t>bear</t>
        </is>
      </c>
      <c r="B169" t="n">
        <v>2031</v>
      </c>
      <c r="C169" t="inlineStr">
        <is>
          <t>organoid_cro_biobank</t>
        </is>
      </c>
      <c r="D169" t="inlineStr">
        <is>
          <t>RoW</t>
        </is>
      </c>
      <c r="E169" t="n">
        <v>575814</v>
      </c>
      <c r="F169" t="n">
        <v>287907</v>
      </c>
      <c r="G169" t="n">
        <v>12.7077</v>
      </c>
      <c r="H169" t="n">
        <v>0.018591</v>
      </c>
      <c r="I169">
        <f>F169*H169</f>
        <v/>
      </c>
      <c r="J169">
        <f>G169*H169</f>
        <v/>
      </c>
    </row>
    <row r="170">
      <c r="A170" t="inlineStr">
        <is>
          <t>bear</t>
        </is>
      </c>
      <c r="B170" t="n">
        <v>2031</v>
      </c>
      <c r="C170" t="inlineStr">
        <is>
          <t>clinical_dx_pdo</t>
        </is>
      </c>
      <c r="D170" t="inlineStr">
        <is>
          <t>US</t>
        </is>
      </c>
      <c r="E170" t="n">
        <v>449188</v>
      </c>
      <c r="F170" t="n">
        <v>202135</v>
      </c>
      <c r="G170" t="n">
        <v>5.3531</v>
      </c>
      <c r="H170" t="n">
        <v>0.023586</v>
      </c>
      <c r="I170">
        <f>F170*H170</f>
        <v/>
      </c>
      <c r="J170">
        <f>G170*H170</f>
        <v/>
      </c>
    </row>
    <row r="171">
      <c r="A171" t="inlineStr">
        <is>
          <t>bear</t>
        </is>
      </c>
      <c r="B171" t="n">
        <v>2031</v>
      </c>
      <c r="C171" t="inlineStr">
        <is>
          <t>clinical_dx_pdo</t>
        </is>
      </c>
      <c r="D171" t="inlineStr">
        <is>
          <t>EU</t>
        </is>
      </c>
      <c r="E171" t="n">
        <v>269513</v>
      </c>
      <c r="F171" t="n">
        <v>121281</v>
      </c>
      <c r="G171" t="n">
        <v>3.2119</v>
      </c>
      <c r="H171" t="n">
        <v>0.023586</v>
      </c>
      <c r="I171">
        <f>F171*H171</f>
        <v/>
      </c>
      <c r="J171">
        <f>G171*H171</f>
        <v/>
      </c>
    </row>
    <row r="172">
      <c r="A172" t="inlineStr">
        <is>
          <t>bear</t>
        </is>
      </c>
      <c r="B172" t="n">
        <v>2031</v>
      </c>
      <c r="C172" t="inlineStr">
        <is>
          <t>clinical_dx_pdo</t>
        </is>
      </c>
      <c r="D172" t="inlineStr">
        <is>
          <t>China</t>
        </is>
      </c>
      <c r="E172" t="n">
        <v>356970</v>
      </c>
      <c r="F172" t="n">
        <v>160637</v>
      </c>
      <c r="G172" t="n">
        <v>9.6356</v>
      </c>
      <c r="H172" t="n">
        <v>0.023586</v>
      </c>
      <c r="I172">
        <f>F172*H172</f>
        <v/>
      </c>
      <c r="J172">
        <f>G172*H172</f>
        <v/>
      </c>
    </row>
    <row r="173">
      <c r="A173" t="inlineStr">
        <is>
          <t>bear</t>
        </is>
      </c>
      <c r="B173" t="n">
        <v>2031</v>
      </c>
      <c r="C173" t="inlineStr">
        <is>
          <t>clinical_dx_pdo</t>
        </is>
      </c>
      <c r="D173" t="inlineStr">
        <is>
          <t>Japan</t>
        </is>
      </c>
      <c r="E173" t="n">
        <v>102415</v>
      </c>
      <c r="F173" t="n">
        <v>46087</v>
      </c>
      <c r="G173" t="n">
        <v>1.2847</v>
      </c>
      <c r="H173" t="n">
        <v>0.023586</v>
      </c>
      <c r="I173">
        <f>F173*H173</f>
        <v/>
      </c>
      <c r="J173">
        <f>G173*H173</f>
        <v/>
      </c>
    </row>
    <row r="174">
      <c r="A174" t="inlineStr">
        <is>
          <t>bear</t>
        </is>
      </c>
      <c r="B174" t="n">
        <v>2031</v>
      </c>
      <c r="C174" t="inlineStr">
        <is>
          <t>clinical_dx_pdo</t>
        </is>
      </c>
      <c r="D174" t="inlineStr">
        <is>
          <t>Korea</t>
        </is>
      </c>
      <c r="E174" t="n">
        <v>80854</v>
      </c>
      <c r="F174" t="n">
        <v>36384</v>
      </c>
      <c r="G174" t="n">
        <v>1.0706</v>
      </c>
      <c r="H174" t="n">
        <v>0.023586</v>
      </c>
      <c r="I174">
        <f>F174*H174</f>
        <v/>
      </c>
      <c r="J174">
        <f>G174*H174</f>
        <v/>
      </c>
    </row>
    <row r="175">
      <c r="A175" t="inlineStr">
        <is>
          <t>bear</t>
        </is>
      </c>
      <c r="B175" t="n">
        <v>2031</v>
      </c>
      <c r="C175" t="inlineStr">
        <is>
          <t>clinical_dx_pdo</t>
        </is>
      </c>
      <c r="D175" t="inlineStr">
        <is>
          <t>RoW</t>
        </is>
      </c>
      <c r="E175" t="n">
        <v>57496</v>
      </c>
      <c r="F175" t="n">
        <v>25873</v>
      </c>
      <c r="G175" t="n">
        <v>0.8565</v>
      </c>
      <c r="H175" t="n">
        <v>0.023586</v>
      </c>
      <c r="I175">
        <f>F175*H175</f>
        <v/>
      </c>
      <c r="J175">
        <f>G175*H175</f>
        <v/>
      </c>
    </row>
    <row r="176">
      <c r="A176" t="inlineStr">
        <is>
          <t>bear</t>
        </is>
      </c>
      <c r="B176" t="n">
        <v>2031</v>
      </c>
      <c r="C176" t="inlineStr">
        <is>
          <t>regenerative_gmp</t>
        </is>
      </c>
      <c r="D176" t="inlineStr">
        <is>
          <t>US</t>
        </is>
      </c>
      <c r="E176" t="n">
        <v>70129</v>
      </c>
      <c r="F176" t="n">
        <v>70129</v>
      </c>
      <c r="G176" t="n">
        <v>0.7629</v>
      </c>
      <c r="H176" t="n">
        <v>0.645912</v>
      </c>
      <c r="I176">
        <f>F176*H176</f>
        <v/>
      </c>
      <c r="J176">
        <f>G176*H176</f>
        <v/>
      </c>
    </row>
    <row r="177">
      <c r="A177" t="inlineStr">
        <is>
          <t>bear</t>
        </is>
      </c>
      <c r="B177" t="n">
        <v>2031</v>
      </c>
      <c r="C177" t="inlineStr">
        <is>
          <t>regenerative_gmp</t>
        </is>
      </c>
      <c r="D177" t="inlineStr">
        <is>
          <t>EU</t>
        </is>
      </c>
      <c r="E177" t="n">
        <v>56103</v>
      </c>
      <c r="F177" t="n">
        <v>56103</v>
      </c>
      <c r="G177" t="n">
        <v>0.6104000000000001</v>
      </c>
      <c r="H177" t="n">
        <v>0.645912</v>
      </c>
      <c r="I177">
        <f>F177*H177</f>
        <v/>
      </c>
      <c r="J177">
        <f>G177*H177</f>
        <v/>
      </c>
    </row>
    <row r="178">
      <c r="A178" t="inlineStr">
        <is>
          <t>bear</t>
        </is>
      </c>
      <c r="B178" t="n">
        <v>2031</v>
      </c>
      <c r="C178" t="inlineStr">
        <is>
          <t>regenerative_gmp</t>
        </is>
      </c>
      <c r="D178" t="inlineStr">
        <is>
          <t>China</t>
        </is>
      </c>
      <c r="E178" t="n">
        <v>12385</v>
      </c>
      <c r="F178" t="n">
        <v>12385</v>
      </c>
      <c r="G178" t="n">
        <v>0.3052</v>
      </c>
      <c r="H178" t="n">
        <v>0.645912</v>
      </c>
      <c r="I178">
        <f>F178*H178</f>
        <v/>
      </c>
      <c r="J178">
        <f>G178*H178</f>
        <v/>
      </c>
    </row>
    <row r="179">
      <c r="A179" t="inlineStr">
        <is>
          <t>bear</t>
        </is>
      </c>
      <c r="B179" t="n">
        <v>2031</v>
      </c>
      <c r="C179" t="inlineStr">
        <is>
          <t>regenerative_gmp</t>
        </is>
      </c>
      <c r="D179" t="inlineStr">
        <is>
          <t>Japan</t>
        </is>
      </c>
      <c r="E179" t="n">
        <v>106596</v>
      </c>
      <c r="F179" t="n">
        <v>106596</v>
      </c>
      <c r="G179" t="n">
        <v>1.2207</v>
      </c>
      <c r="H179" t="n">
        <v>0.645912</v>
      </c>
      <c r="I179">
        <f>F179*H179</f>
        <v/>
      </c>
      <c r="J179">
        <f>G179*H179</f>
        <v/>
      </c>
    </row>
    <row r="180">
      <c r="A180" t="inlineStr">
        <is>
          <t>bear</t>
        </is>
      </c>
      <c r="B180" t="n">
        <v>2031</v>
      </c>
      <c r="C180" t="inlineStr">
        <is>
          <t>regenerative_gmp</t>
        </is>
      </c>
      <c r="D180" t="inlineStr">
        <is>
          <t>Korea</t>
        </is>
      </c>
      <c r="E180" t="n">
        <v>12623</v>
      </c>
      <c r="F180" t="n">
        <v>12623</v>
      </c>
      <c r="G180" t="n">
        <v>0.1526</v>
      </c>
      <c r="H180" t="n">
        <v>0.645912</v>
      </c>
      <c r="I180">
        <f>F180*H180</f>
        <v/>
      </c>
      <c r="J180">
        <f>G180*H180</f>
        <v/>
      </c>
    </row>
    <row r="181">
      <c r="A181" t="inlineStr">
        <is>
          <t>bear</t>
        </is>
      </c>
      <c r="B181" t="n">
        <v>2031</v>
      </c>
      <c r="C181" t="inlineStr">
        <is>
          <t>regenerative_gmp</t>
        </is>
      </c>
      <c r="D181" t="inlineStr">
        <is>
          <t>RoW</t>
        </is>
      </c>
      <c r="E181" t="n">
        <v>0</v>
      </c>
      <c r="F181" t="n">
        <v>0</v>
      </c>
      <c r="G181" t="n">
        <v>0</v>
      </c>
      <c r="H181" t="n">
        <v>0.645912</v>
      </c>
      <c r="I181">
        <f>F181*H181</f>
        <v/>
      </c>
      <c r="J181">
        <f>G181*H181</f>
        <v/>
      </c>
    </row>
    <row r="182">
      <c r="A182" t="inlineStr">
        <is>
          <t>bear</t>
        </is>
      </c>
      <c r="B182" t="n">
        <v>2032</v>
      </c>
      <c r="C182" t="inlineStr">
        <is>
          <t>academic_ruo</t>
        </is>
      </c>
      <c r="D182" t="inlineStr">
        <is>
          <t>US</t>
        </is>
      </c>
      <c r="E182" t="n">
        <v>6332595</v>
      </c>
      <c r="F182" t="n">
        <v>3862883</v>
      </c>
      <c r="G182" t="n">
        <v>106.5628</v>
      </c>
      <c r="H182" t="n">
        <v>0.07112499999999999</v>
      </c>
      <c r="I182">
        <f>F182*H182</f>
        <v/>
      </c>
      <c r="J182">
        <f>G182*H182</f>
        <v/>
      </c>
    </row>
    <row r="183">
      <c r="A183" t="inlineStr">
        <is>
          <t>bear</t>
        </is>
      </c>
      <c r="B183" t="n">
        <v>2032</v>
      </c>
      <c r="C183" t="inlineStr">
        <is>
          <t>academic_ruo</t>
        </is>
      </c>
      <c r="D183" t="inlineStr">
        <is>
          <t>EU</t>
        </is>
      </c>
      <c r="E183" t="n">
        <v>6982674</v>
      </c>
      <c r="F183" t="n">
        <v>4259431</v>
      </c>
      <c r="G183" t="n">
        <v>117.5021</v>
      </c>
      <c r="H183" t="n">
        <v>0.07112499999999999</v>
      </c>
      <c r="I183">
        <f>F183*H183</f>
        <v/>
      </c>
      <c r="J183">
        <f>G183*H183</f>
        <v/>
      </c>
    </row>
    <row r="184">
      <c r="A184" t="inlineStr">
        <is>
          <t>bear</t>
        </is>
      </c>
      <c r="B184" t="n">
        <v>2032</v>
      </c>
      <c r="C184" t="inlineStr">
        <is>
          <t>academic_ruo</t>
        </is>
      </c>
      <c r="D184" t="inlineStr">
        <is>
          <t>China</t>
        </is>
      </c>
      <c r="E184" t="n">
        <v>3994058</v>
      </c>
      <c r="F184" t="n">
        <v>2436375</v>
      </c>
      <c r="G184" t="n">
        <v>152.2326</v>
      </c>
      <c r="H184" t="n">
        <v>0.07112499999999999</v>
      </c>
      <c r="I184">
        <f>F184*H184</f>
        <v/>
      </c>
      <c r="J184">
        <f>G184*H184</f>
        <v/>
      </c>
    </row>
    <row r="185">
      <c r="A185" t="inlineStr">
        <is>
          <t>bear</t>
        </is>
      </c>
      <c r="B185" t="n">
        <v>2032</v>
      </c>
      <c r="C185" t="inlineStr">
        <is>
          <t>academic_ruo</t>
        </is>
      </c>
      <c r="D185" t="inlineStr">
        <is>
          <t>Japan</t>
        </is>
      </c>
      <c r="E185" t="n">
        <v>1386306</v>
      </c>
      <c r="F185" t="n">
        <v>845647</v>
      </c>
      <c r="G185" t="n">
        <v>24.5561</v>
      </c>
      <c r="H185" t="n">
        <v>0.07112499999999999</v>
      </c>
      <c r="I185">
        <f>F185*H185</f>
        <v/>
      </c>
      <c r="J185">
        <f>G185*H185</f>
        <v/>
      </c>
    </row>
    <row r="186">
      <c r="A186" t="inlineStr">
        <is>
          <t>bear</t>
        </is>
      </c>
      <c r="B186" t="n">
        <v>2032</v>
      </c>
      <c r="C186" t="inlineStr">
        <is>
          <t>academic_ruo</t>
        </is>
      </c>
      <c r="D186" t="inlineStr">
        <is>
          <t>Korea</t>
        </is>
      </c>
      <c r="E186" t="n">
        <v>1178326</v>
      </c>
      <c r="F186" t="n">
        <v>718779</v>
      </c>
      <c r="G186" t="n">
        <v>22.0316</v>
      </c>
      <c r="H186" t="n">
        <v>0.07112499999999999</v>
      </c>
      <c r="I186">
        <f>F186*H186</f>
        <v/>
      </c>
      <c r="J186">
        <f>G186*H186</f>
        <v/>
      </c>
    </row>
    <row r="187">
      <c r="A187" t="inlineStr">
        <is>
          <t>bear</t>
        </is>
      </c>
      <c r="B187" t="n">
        <v>2032</v>
      </c>
      <c r="C187" t="inlineStr">
        <is>
          <t>academic_ruo</t>
        </is>
      </c>
      <c r="D187" t="inlineStr">
        <is>
          <t>RoW</t>
        </is>
      </c>
      <c r="E187" t="n">
        <v>4233246</v>
      </c>
      <c r="F187" t="n">
        <v>2582280</v>
      </c>
      <c r="G187" t="n">
        <v>89.0446</v>
      </c>
      <c r="H187" t="n">
        <v>0.07112499999999999</v>
      </c>
      <c r="I187">
        <f>F187*H187</f>
        <v/>
      </c>
      <c r="J187">
        <f>G187*H187</f>
        <v/>
      </c>
    </row>
    <row r="188">
      <c r="A188" t="inlineStr">
        <is>
          <t>bear</t>
        </is>
      </c>
      <c r="B188" t="n">
        <v>2032</v>
      </c>
      <c r="C188" t="inlineStr">
        <is>
          <t>pharma_preclinical_nam</t>
        </is>
      </c>
      <c r="D188" t="inlineStr">
        <is>
          <t>US</t>
        </is>
      </c>
      <c r="E188" t="n">
        <v>9033127</v>
      </c>
      <c r="F188" t="n">
        <v>4968220</v>
      </c>
      <c r="G188" t="n">
        <v>161.2412</v>
      </c>
      <c r="H188" t="n">
        <v>0.119911</v>
      </c>
      <c r="I188">
        <f>F188*H188</f>
        <v/>
      </c>
      <c r="J188">
        <f>G188*H188</f>
        <v/>
      </c>
    </row>
    <row r="189">
      <c r="A189" t="inlineStr">
        <is>
          <t>bear</t>
        </is>
      </c>
      <c r="B189" t="n">
        <v>2032</v>
      </c>
      <c r="C189" t="inlineStr">
        <is>
          <t>pharma_preclinical_nam</t>
        </is>
      </c>
      <c r="D189" t="inlineStr">
        <is>
          <t>EU</t>
        </is>
      </c>
      <c r="E189" t="n">
        <v>5018404</v>
      </c>
      <c r="F189" t="n">
        <v>2760122</v>
      </c>
      <c r="G189" t="n">
        <v>89.5784</v>
      </c>
      <c r="H189" t="n">
        <v>0.119911</v>
      </c>
      <c r="I189">
        <f>F189*H189</f>
        <v/>
      </c>
      <c r="J189">
        <f>G189*H189</f>
        <v/>
      </c>
    </row>
    <row r="190">
      <c r="A190" t="inlineStr">
        <is>
          <t>bear</t>
        </is>
      </c>
      <c r="B190" t="n">
        <v>2032</v>
      </c>
      <c r="C190" t="inlineStr">
        <is>
          <t>pharma_preclinical_nam</t>
        </is>
      </c>
      <c r="D190" t="inlineStr">
        <is>
          <t>China</t>
        </is>
      </c>
      <c r="E190" t="n">
        <v>1329375</v>
      </c>
      <c r="F190" t="n">
        <v>731156</v>
      </c>
      <c r="G190" t="n">
        <v>53.7471</v>
      </c>
      <c r="H190" t="n">
        <v>0.119911</v>
      </c>
      <c r="I190">
        <f>F190*H190</f>
        <v/>
      </c>
      <c r="J190">
        <f>G190*H190</f>
        <v/>
      </c>
    </row>
    <row r="191">
      <c r="A191" t="inlineStr">
        <is>
          <t>bear</t>
        </is>
      </c>
      <c r="B191" t="n">
        <v>2032</v>
      </c>
      <c r="C191" t="inlineStr">
        <is>
          <t>pharma_preclinical_nam</t>
        </is>
      </c>
      <c r="D191" t="inlineStr">
        <is>
          <t>Japan</t>
        </is>
      </c>
      <c r="E191" t="n">
        <v>1334895</v>
      </c>
      <c r="F191" t="n">
        <v>734192</v>
      </c>
      <c r="G191" t="n">
        <v>25.082</v>
      </c>
      <c r="H191" t="n">
        <v>0.119911</v>
      </c>
      <c r="I191">
        <f>F191*H191</f>
        <v/>
      </c>
      <c r="J191">
        <f>G191*H191</f>
        <v/>
      </c>
    </row>
    <row r="192">
      <c r="A192" t="inlineStr">
        <is>
          <t>bear</t>
        </is>
      </c>
      <c r="B192" t="n">
        <v>2032</v>
      </c>
      <c r="C192" t="inlineStr">
        <is>
          <t>pharma_preclinical_nam</t>
        </is>
      </c>
      <c r="D192" t="inlineStr">
        <is>
          <t>Korea</t>
        </is>
      </c>
      <c r="E192" t="n">
        <v>541988</v>
      </c>
      <c r="F192" t="n">
        <v>298093</v>
      </c>
      <c r="G192" t="n">
        <v>10.7494</v>
      </c>
      <c r="H192" t="n">
        <v>0.119911</v>
      </c>
      <c r="I192">
        <f>F192*H192</f>
        <v/>
      </c>
      <c r="J192">
        <f>G192*H192</f>
        <v/>
      </c>
    </row>
    <row r="193">
      <c r="A193" t="inlineStr">
        <is>
          <t>bear</t>
        </is>
      </c>
      <c r="B193" t="n">
        <v>2032</v>
      </c>
      <c r="C193" t="inlineStr">
        <is>
          <t>pharma_preclinical_nam</t>
        </is>
      </c>
      <c r="D193" t="inlineStr">
        <is>
          <t>RoW</t>
        </is>
      </c>
      <c r="E193" t="n">
        <v>802945</v>
      </c>
      <c r="F193" t="n">
        <v>441620</v>
      </c>
      <c r="G193" t="n">
        <v>17.9157</v>
      </c>
      <c r="H193" t="n">
        <v>0.119911</v>
      </c>
      <c r="I193">
        <f>F193*H193</f>
        <v/>
      </c>
      <c r="J193">
        <f>G193*H193</f>
        <v/>
      </c>
    </row>
    <row r="194">
      <c r="A194" t="inlineStr">
        <is>
          <t>bear</t>
        </is>
      </c>
      <c r="B194" t="n">
        <v>2032</v>
      </c>
      <c r="C194" t="inlineStr">
        <is>
          <t>organoid_cro_biobank</t>
        </is>
      </c>
      <c r="D194" t="inlineStr">
        <is>
          <t>US</t>
        </is>
      </c>
      <c r="E194" t="n">
        <v>4106379</v>
      </c>
      <c r="F194" t="n">
        <v>2053190</v>
      </c>
      <c r="G194" t="n">
        <v>75.52</v>
      </c>
      <c r="H194" t="n">
        <v>0.02065</v>
      </c>
      <c r="I194">
        <f>F194*H194</f>
        <v/>
      </c>
      <c r="J194">
        <f>G194*H194</f>
        <v/>
      </c>
    </row>
    <row r="195">
      <c r="A195" t="inlineStr">
        <is>
          <t>bear</t>
        </is>
      </c>
      <c r="B195" t="n">
        <v>2032</v>
      </c>
      <c r="C195" t="inlineStr">
        <is>
          <t>organoid_cro_biobank</t>
        </is>
      </c>
      <c r="D195" t="inlineStr">
        <is>
          <t>EU</t>
        </is>
      </c>
      <c r="E195" t="n">
        <v>2053190</v>
      </c>
      <c r="F195" t="n">
        <v>1026595</v>
      </c>
      <c r="G195" t="n">
        <v>37.76</v>
      </c>
      <c r="H195" t="n">
        <v>0.02065</v>
      </c>
      <c r="I195">
        <f>F195*H195</f>
        <v/>
      </c>
      <c r="J195">
        <f>G195*H195</f>
        <v/>
      </c>
    </row>
    <row r="196">
      <c r="A196" t="inlineStr">
        <is>
          <t>bear</t>
        </is>
      </c>
      <c r="B196" t="n">
        <v>2032</v>
      </c>
      <c r="C196" t="inlineStr">
        <is>
          <t>organoid_cro_biobank</t>
        </is>
      </c>
      <c r="D196" t="inlineStr">
        <is>
          <t>China</t>
        </is>
      </c>
      <c r="E196" t="n">
        <v>997132</v>
      </c>
      <c r="F196" t="n">
        <v>498566</v>
      </c>
      <c r="G196" t="n">
        <v>41.536</v>
      </c>
      <c r="H196" t="n">
        <v>0.02065</v>
      </c>
      <c r="I196">
        <f>F196*H196</f>
        <v/>
      </c>
      <c r="J196">
        <f>G196*H196</f>
        <v/>
      </c>
    </row>
    <row r="197">
      <c r="A197" t="inlineStr">
        <is>
          <t>bear</t>
        </is>
      </c>
      <c r="B197" t="n">
        <v>2032</v>
      </c>
      <c r="C197" t="inlineStr">
        <is>
          <t>organoid_cro_biobank</t>
        </is>
      </c>
      <c r="D197" t="inlineStr">
        <is>
          <t>Japan</t>
        </is>
      </c>
      <c r="E197" t="n">
        <v>585159</v>
      </c>
      <c r="F197" t="n">
        <v>292580</v>
      </c>
      <c r="G197" t="n">
        <v>11.328</v>
      </c>
      <c r="H197" t="n">
        <v>0.02065</v>
      </c>
      <c r="I197">
        <f>F197*H197</f>
        <v/>
      </c>
      <c r="J197">
        <f>G197*H197</f>
        <v/>
      </c>
    </row>
    <row r="198">
      <c r="A198" t="inlineStr">
        <is>
          <t>bear</t>
        </is>
      </c>
      <c r="B198" t="n">
        <v>2032</v>
      </c>
      <c r="C198" t="inlineStr">
        <is>
          <t>organoid_cro_biobank</t>
        </is>
      </c>
      <c r="D198" t="inlineStr">
        <is>
          <t>Korea</t>
        </is>
      </c>
      <c r="E198" t="n">
        <v>461968</v>
      </c>
      <c r="F198" t="n">
        <v>230984</v>
      </c>
      <c r="G198" t="n">
        <v>9.44</v>
      </c>
      <c r="H198" t="n">
        <v>0.02065</v>
      </c>
      <c r="I198">
        <f>F198*H198</f>
        <v/>
      </c>
      <c r="J198">
        <f>G198*H198</f>
        <v/>
      </c>
    </row>
    <row r="199">
      <c r="A199" t="inlineStr">
        <is>
          <t>bear</t>
        </is>
      </c>
      <c r="B199" t="n">
        <v>2032</v>
      </c>
      <c r="C199" t="inlineStr">
        <is>
          <t>organoid_cro_biobank</t>
        </is>
      </c>
      <c r="D199" t="inlineStr">
        <is>
          <t>RoW</t>
        </is>
      </c>
      <c r="E199" t="n">
        <v>574893</v>
      </c>
      <c r="F199" t="n">
        <v>287447</v>
      </c>
      <c r="G199" t="n">
        <v>13.216</v>
      </c>
      <c r="H199" t="n">
        <v>0.02065</v>
      </c>
      <c r="I199">
        <f>F199*H199</f>
        <v/>
      </c>
      <c r="J199">
        <f>G199*H199</f>
        <v/>
      </c>
    </row>
    <row r="200">
      <c r="A200" t="inlineStr">
        <is>
          <t>bear</t>
        </is>
      </c>
      <c r="B200" t="n">
        <v>2032</v>
      </c>
      <c r="C200" t="inlineStr">
        <is>
          <t>clinical_dx_pdo</t>
        </is>
      </c>
      <c r="D200" t="inlineStr">
        <is>
          <t>US</t>
        </is>
      </c>
      <c r="E200" t="n">
        <v>465719</v>
      </c>
      <c r="F200" t="n">
        <v>209573</v>
      </c>
      <c r="G200" t="n">
        <v>5.7814</v>
      </c>
      <c r="H200" t="n">
        <v>0.026542</v>
      </c>
      <c r="I200">
        <f>F200*H200</f>
        <v/>
      </c>
      <c r="J200">
        <f>G200*H200</f>
        <v/>
      </c>
    </row>
    <row r="201">
      <c r="A201" t="inlineStr">
        <is>
          <t>bear</t>
        </is>
      </c>
      <c r="B201" t="n">
        <v>2032</v>
      </c>
      <c r="C201" t="inlineStr">
        <is>
          <t>clinical_dx_pdo</t>
        </is>
      </c>
      <c r="D201" t="inlineStr">
        <is>
          <t>EU</t>
        </is>
      </c>
      <c r="E201" t="n">
        <v>279431</v>
      </c>
      <c r="F201" t="n">
        <v>125744</v>
      </c>
      <c r="G201" t="n">
        <v>3.4688</v>
      </c>
      <c r="H201" t="n">
        <v>0.026542</v>
      </c>
      <c r="I201">
        <f>F201*H201</f>
        <v/>
      </c>
      <c r="J201">
        <f>G201*H201</f>
        <v/>
      </c>
    </row>
    <row r="202">
      <c r="A202" t="inlineStr">
        <is>
          <t>bear</t>
        </is>
      </c>
      <c r="B202" t="n">
        <v>2032</v>
      </c>
      <c r="C202" t="inlineStr">
        <is>
          <t>clinical_dx_pdo</t>
        </is>
      </c>
      <c r="D202" t="inlineStr">
        <is>
          <t>China</t>
        </is>
      </c>
      <c r="E202" t="n">
        <v>370107</v>
      </c>
      <c r="F202" t="n">
        <v>166548</v>
      </c>
      <c r="G202" t="n">
        <v>10.4065</v>
      </c>
      <c r="H202" t="n">
        <v>0.026542</v>
      </c>
      <c r="I202">
        <f>F202*H202</f>
        <v/>
      </c>
      <c r="J202">
        <f>G202*H202</f>
        <v/>
      </c>
    </row>
    <row r="203">
      <c r="A203" t="inlineStr">
        <is>
          <t>bear</t>
        </is>
      </c>
      <c r="B203" t="n">
        <v>2032</v>
      </c>
      <c r="C203" t="inlineStr">
        <is>
          <t>clinical_dx_pdo</t>
        </is>
      </c>
      <c r="D203" t="inlineStr">
        <is>
          <t>Japan</t>
        </is>
      </c>
      <c r="E203" t="n">
        <v>106184</v>
      </c>
      <c r="F203" t="n">
        <v>47783</v>
      </c>
      <c r="G203" t="n">
        <v>1.3875</v>
      </c>
      <c r="H203" t="n">
        <v>0.026542</v>
      </c>
      <c r="I203">
        <f>F203*H203</f>
        <v/>
      </c>
      <c r="J203">
        <f>G203*H203</f>
        <v/>
      </c>
    </row>
    <row r="204">
      <c r="A204" t="inlineStr">
        <is>
          <t>bear</t>
        </is>
      </c>
      <c r="B204" t="n">
        <v>2032</v>
      </c>
      <c r="C204" t="inlineStr">
        <is>
          <t>clinical_dx_pdo</t>
        </is>
      </c>
      <c r="D204" t="inlineStr">
        <is>
          <t>Korea</t>
        </is>
      </c>
      <c r="E204" t="n">
        <v>83829</v>
      </c>
      <c r="F204" t="n">
        <v>37723</v>
      </c>
      <c r="G204" t="n">
        <v>1.1563</v>
      </c>
      <c r="H204" t="n">
        <v>0.026542</v>
      </c>
      <c r="I204">
        <f>F204*H204</f>
        <v/>
      </c>
      <c r="J204">
        <f>G204*H204</f>
        <v/>
      </c>
    </row>
    <row r="205">
      <c r="A205" t="inlineStr">
        <is>
          <t>bear</t>
        </is>
      </c>
      <c r="B205" t="n">
        <v>2032</v>
      </c>
      <c r="C205" t="inlineStr">
        <is>
          <t>clinical_dx_pdo</t>
        </is>
      </c>
      <c r="D205" t="inlineStr">
        <is>
          <t>RoW</t>
        </is>
      </c>
      <c r="E205" t="n">
        <v>59612</v>
      </c>
      <c r="F205" t="n">
        <v>26825</v>
      </c>
      <c r="G205" t="n">
        <v>0.925</v>
      </c>
      <c r="H205" t="n">
        <v>0.026542</v>
      </c>
      <c r="I205">
        <f>F205*H205</f>
        <v/>
      </c>
      <c r="J205">
        <f>G205*H205</f>
        <v/>
      </c>
    </row>
    <row r="206">
      <c r="A206" t="inlineStr">
        <is>
          <t>bear</t>
        </is>
      </c>
      <c r="B206" t="n">
        <v>2032</v>
      </c>
      <c r="C206" t="inlineStr">
        <is>
          <t>regenerative_gmp</t>
        </is>
      </c>
      <c r="D206" t="inlineStr">
        <is>
          <t>US</t>
        </is>
      </c>
      <c r="E206" t="n">
        <v>84155</v>
      </c>
      <c r="F206" t="n">
        <v>84155</v>
      </c>
      <c r="G206" t="n">
        <v>0.9537</v>
      </c>
      <c r="H206" t="n">
        <v>0.7372</v>
      </c>
      <c r="I206">
        <f>F206*H206</f>
        <v/>
      </c>
      <c r="J206">
        <f>G206*H206</f>
        <v/>
      </c>
    </row>
    <row r="207">
      <c r="A207" t="inlineStr">
        <is>
          <t>bear</t>
        </is>
      </c>
      <c r="B207" t="n">
        <v>2032</v>
      </c>
      <c r="C207" t="inlineStr">
        <is>
          <t>regenerative_gmp</t>
        </is>
      </c>
      <c r="D207" t="inlineStr">
        <is>
          <t>EU</t>
        </is>
      </c>
      <c r="E207" t="n">
        <v>67324</v>
      </c>
      <c r="F207" t="n">
        <v>67324</v>
      </c>
      <c r="G207" t="n">
        <v>0.7629</v>
      </c>
      <c r="H207" t="n">
        <v>0.7372</v>
      </c>
      <c r="I207">
        <f>F207*H207</f>
        <v/>
      </c>
      <c r="J207">
        <f>G207*H207</f>
        <v/>
      </c>
    </row>
    <row r="208">
      <c r="A208" t="inlineStr">
        <is>
          <t>bear</t>
        </is>
      </c>
      <c r="B208" t="n">
        <v>2032</v>
      </c>
      <c r="C208" t="inlineStr">
        <is>
          <t>regenerative_gmp</t>
        </is>
      </c>
      <c r="D208" t="inlineStr">
        <is>
          <t>China</t>
        </is>
      </c>
      <c r="E208" t="n">
        <v>14862</v>
      </c>
      <c r="F208" t="n">
        <v>14862</v>
      </c>
      <c r="G208" t="n">
        <v>0.3815</v>
      </c>
      <c r="H208" t="n">
        <v>0.7372</v>
      </c>
      <c r="I208">
        <f>F208*H208</f>
        <v/>
      </c>
      <c r="J208">
        <f>G208*H208</f>
        <v/>
      </c>
    </row>
    <row r="209">
      <c r="A209" t="inlineStr">
        <is>
          <t>bear</t>
        </is>
      </c>
      <c r="B209" t="n">
        <v>2032</v>
      </c>
      <c r="C209" t="inlineStr">
        <is>
          <t>regenerative_gmp</t>
        </is>
      </c>
      <c r="D209" t="inlineStr">
        <is>
          <t>Japan</t>
        </is>
      </c>
      <c r="E209" t="n">
        <v>127915</v>
      </c>
      <c r="F209" t="n">
        <v>127915</v>
      </c>
      <c r="G209" t="n">
        <v>1.5259</v>
      </c>
      <c r="H209" t="n">
        <v>0.7372</v>
      </c>
      <c r="I209">
        <f>F209*H209</f>
        <v/>
      </c>
      <c r="J209">
        <f>G209*H209</f>
        <v/>
      </c>
    </row>
    <row r="210">
      <c r="A210" t="inlineStr">
        <is>
          <t>bear</t>
        </is>
      </c>
      <c r="B210" t="n">
        <v>2032</v>
      </c>
      <c r="C210" t="inlineStr">
        <is>
          <t>regenerative_gmp</t>
        </is>
      </c>
      <c r="D210" t="inlineStr">
        <is>
          <t>Korea</t>
        </is>
      </c>
      <c r="E210" t="n">
        <v>15148</v>
      </c>
      <c r="F210" t="n">
        <v>15148</v>
      </c>
      <c r="G210" t="n">
        <v>0.1907</v>
      </c>
      <c r="H210" t="n">
        <v>0.7372</v>
      </c>
      <c r="I210">
        <f>F210*H210</f>
        <v/>
      </c>
      <c r="J210">
        <f>G210*H210</f>
        <v/>
      </c>
    </row>
    <row r="211">
      <c r="A211" t="inlineStr">
        <is>
          <t>bear</t>
        </is>
      </c>
      <c r="B211" t="n">
        <v>2032</v>
      </c>
      <c r="C211" t="inlineStr">
        <is>
          <t>regenerative_gmp</t>
        </is>
      </c>
      <c r="D211" t="inlineStr">
        <is>
          <t>RoW</t>
        </is>
      </c>
      <c r="E211" t="n">
        <v>0</v>
      </c>
      <c r="F211" t="n">
        <v>0</v>
      </c>
      <c r="G211" t="n">
        <v>0</v>
      </c>
      <c r="H211" t="n">
        <v>0.7372</v>
      </c>
      <c r="I211">
        <f>F211*H211</f>
        <v/>
      </c>
      <c r="J211">
        <f>G211*H211</f>
        <v/>
      </c>
    </row>
    <row r="212">
      <c r="A212" t="inlineStr">
        <is>
          <t>bear</t>
        </is>
      </c>
      <c r="B212" t="n">
        <v>2033</v>
      </c>
      <c r="C212" t="inlineStr">
        <is>
          <t>academic_ruo</t>
        </is>
      </c>
      <c r="D212" t="inlineStr">
        <is>
          <t>US</t>
        </is>
      </c>
      <c r="E212" t="n">
        <v>6200877</v>
      </c>
      <c r="F212" t="n">
        <v>3782535</v>
      </c>
      <c r="G212" t="n">
        <v>108.694</v>
      </c>
      <c r="H212" t="n">
        <v>0.084109</v>
      </c>
      <c r="I212">
        <f>F212*H212</f>
        <v/>
      </c>
      <c r="J212">
        <f>G212*H212</f>
        <v/>
      </c>
    </row>
    <row r="213">
      <c r="A213" t="inlineStr">
        <is>
          <t>bear</t>
        </is>
      </c>
      <c r="B213" t="n">
        <v>2033</v>
      </c>
      <c r="C213" t="inlineStr">
        <is>
          <t>academic_ruo</t>
        </is>
      </c>
      <c r="D213" t="inlineStr">
        <is>
          <t>EU</t>
        </is>
      </c>
      <c r="E213" t="n">
        <v>6837435</v>
      </c>
      <c r="F213" t="n">
        <v>4170835</v>
      </c>
      <c r="G213" t="n">
        <v>119.8522</v>
      </c>
      <c r="H213" t="n">
        <v>0.084109</v>
      </c>
      <c r="I213">
        <f>F213*H213</f>
        <v/>
      </c>
      <c r="J213">
        <f>G213*H213</f>
        <v/>
      </c>
    </row>
    <row r="214">
      <c r="A214" t="inlineStr">
        <is>
          <t>bear</t>
        </is>
      </c>
      <c r="B214" t="n">
        <v>2033</v>
      </c>
      <c r="C214" t="inlineStr">
        <is>
          <t>academic_ruo</t>
        </is>
      </c>
      <c r="D214" t="inlineStr">
        <is>
          <t>China</t>
        </is>
      </c>
      <c r="E214" t="n">
        <v>3910981</v>
      </c>
      <c r="F214" t="n">
        <v>2385699</v>
      </c>
      <c r="G214" t="n">
        <v>155.2772</v>
      </c>
      <c r="H214" t="n">
        <v>0.084109</v>
      </c>
      <c r="I214">
        <f>F214*H214</f>
        <v/>
      </c>
      <c r="J214">
        <f>G214*H214</f>
        <v/>
      </c>
    </row>
    <row r="215">
      <c r="A215" t="inlineStr">
        <is>
          <t>bear</t>
        </is>
      </c>
      <c r="B215" t="n">
        <v>2033</v>
      </c>
      <c r="C215" t="inlineStr">
        <is>
          <t>academic_ruo</t>
        </is>
      </c>
      <c r="D215" t="inlineStr">
        <is>
          <t>Japan</t>
        </is>
      </c>
      <c r="E215" t="n">
        <v>1357471</v>
      </c>
      <c r="F215" t="n">
        <v>828057</v>
      </c>
      <c r="G215" t="n">
        <v>25.0472</v>
      </c>
      <c r="H215" t="n">
        <v>0.084109</v>
      </c>
      <c r="I215">
        <f>F215*H215</f>
        <v/>
      </c>
      <c r="J215">
        <f>G215*H215</f>
        <v/>
      </c>
    </row>
    <row r="216">
      <c r="A216" t="inlineStr">
        <is>
          <t>bear</t>
        </is>
      </c>
      <c r="B216" t="n">
        <v>2033</v>
      </c>
      <c r="C216" t="inlineStr">
        <is>
          <t>academic_ruo</t>
        </is>
      </c>
      <c r="D216" t="inlineStr">
        <is>
          <t>Korea</t>
        </is>
      </c>
      <c r="E216" t="n">
        <v>1153817</v>
      </c>
      <c r="F216" t="n">
        <v>703828</v>
      </c>
      <c r="G216" t="n">
        <v>22.4723</v>
      </c>
      <c r="H216" t="n">
        <v>0.084109</v>
      </c>
      <c r="I216">
        <f>F216*H216</f>
        <v/>
      </c>
      <c r="J216">
        <f>G216*H216</f>
        <v/>
      </c>
    </row>
    <row r="217">
      <c r="A217" t="inlineStr">
        <is>
          <t>bear</t>
        </is>
      </c>
      <c r="B217" t="n">
        <v>2033</v>
      </c>
      <c r="C217" t="inlineStr">
        <is>
          <t>academic_ruo</t>
        </is>
      </c>
      <c r="D217" t="inlineStr">
        <is>
          <t>RoW</t>
        </is>
      </c>
      <c r="E217" t="n">
        <v>4145195</v>
      </c>
      <c r="F217" t="n">
        <v>2528569</v>
      </c>
      <c r="G217" t="n">
        <v>90.82550000000001</v>
      </c>
      <c r="H217" t="n">
        <v>0.084109</v>
      </c>
      <c r="I217">
        <f>F217*H217</f>
        <v/>
      </c>
      <c r="J217">
        <f>G217*H217</f>
        <v/>
      </c>
    </row>
    <row r="218">
      <c r="A218" t="inlineStr">
        <is>
          <t>bear</t>
        </is>
      </c>
      <c r="B218" t="n">
        <v>2033</v>
      </c>
      <c r="C218" t="inlineStr">
        <is>
          <t>pharma_preclinical_nam</t>
        </is>
      </c>
      <c r="D218" t="inlineStr">
        <is>
          <t>US</t>
        </is>
      </c>
      <c r="E218" t="n">
        <v>9992731</v>
      </c>
      <c r="F218" t="n">
        <v>5496002</v>
      </c>
      <c r="G218" t="n">
        <v>185.8022</v>
      </c>
      <c r="H218" t="n">
        <v>0.144389</v>
      </c>
      <c r="I218">
        <f>F218*H218</f>
        <v/>
      </c>
      <c r="J218">
        <f>G218*H218</f>
        <v/>
      </c>
    </row>
    <row r="219">
      <c r="A219" t="inlineStr">
        <is>
          <t>bear</t>
        </is>
      </c>
      <c r="B219" t="n">
        <v>2033</v>
      </c>
      <c r="C219" t="inlineStr">
        <is>
          <t>pharma_preclinical_nam</t>
        </is>
      </c>
      <c r="D219" t="inlineStr">
        <is>
          <t>EU</t>
        </is>
      </c>
      <c r="E219" t="n">
        <v>5551517</v>
      </c>
      <c r="F219" t="n">
        <v>3053334</v>
      </c>
      <c r="G219" t="n">
        <v>103.2234</v>
      </c>
      <c r="H219" t="n">
        <v>0.144389</v>
      </c>
      <c r="I219">
        <f>F219*H219</f>
        <v/>
      </c>
      <c r="J219">
        <f>G219*H219</f>
        <v/>
      </c>
    </row>
    <row r="220">
      <c r="A220" t="inlineStr">
        <is>
          <t>bear</t>
        </is>
      </c>
      <c r="B220" t="n">
        <v>2033</v>
      </c>
      <c r="C220" t="inlineStr">
        <is>
          <t>pharma_preclinical_nam</t>
        </is>
      </c>
      <c r="D220" t="inlineStr">
        <is>
          <t>China</t>
        </is>
      </c>
      <c r="E220" t="n">
        <v>1470597</v>
      </c>
      <c r="F220" t="n">
        <v>808828</v>
      </c>
      <c r="G220" t="n">
        <v>61.9341</v>
      </c>
      <c r="H220" t="n">
        <v>0.144389</v>
      </c>
      <c r="I220">
        <f>F220*H220</f>
        <v/>
      </c>
      <c r="J220">
        <f>G220*H220</f>
        <v/>
      </c>
    </row>
    <row r="221">
      <c r="A221" t="inlineStr">
        <is>
          <t>bear</t>
        </is>
      </c>
      <c r="B221" t="n">
        <v>2033</v>
      </c>
      <c r="C221" t="inlineStr">
        <is>
          <t>pharma_preclinical_nam</t>
        </is>
      </c>
      <c r="D221" t="inlineStr">
        <is>
          <t>Japan</t>
        </is>
      </c>
      <c r="E221" t="n">
        <v>1476704</v>
      </c>
      <c r="F221" t="n">
        <v>812187</v>
      </c>
      <c r="G221" t="n">
        <v>28.9026</v>
      </c>
      <c r="H221" t="n">
        <v>0.144389</v>
      </c>
      <c r="I221">
        <f>F221*H221</f>
        <v/>
      </c>
      <c r="J221">
        <f>G221*H221</f>
        <v/>
      </c>
    </row>
    <row r="222">
      <c r="A222" t="inlineStr">
        <is>
          <t>bear</t>
        </is>
      </c>
      <c r="B222" t="n">
        <v>2033</v>
      </c>
      <c r="C222" t="inlineStr">
        <is>
          <t>pharma_preclinical_nam</t>
        </is>
      </c>
      <c r="D222" t="inlineStr">
        <is>
          <t>Korea</t>
        </is>
      </c>
      <c r="E222" t="n">
        <v>599564</v>
      </c>
      <c r="F222" t="n">
        <v>329760</v>
      </c>
      <c r="G222" t="n">
        <v>12.3868</v>
      </c>
      <c r="H222" t="n">
        <v>0.144389</v>
      </c>
      <c r="I222">
        <f>F222*H222</f>
        <v/>
      </c>
      <c r="J222">
        <f>G222*H222</f>
        <v/>
      </c>
    </row>
    <row r="223">
      <c r="A223" t="inlineStr">
        <is>
          <t>bear</t>
        </is>
      </c>
      <c r="B223" t="n">
        <v>2033</v>
      </c>
      <c r="C223" t="inlineStr">
        <is>
          <t>pharma_preclinical_nam</t>
        </is>
      </c>
      <c r="D223" t="inlineStr">
        <is>
          <t>RoW</t>
        </is>
      </c>
      <c r="E223" t="n">
        <v>888243</v>
      </c>
      <c r="F223" t="n">
        <v>488533</v>
      </c>
      <c r="G223" t="n">
        <v>20.6447</v>
      </c>
      <c r="H223" t="n">
        <v>0.144389</v>
      </c>
      <c r="I223">
        <f>F223*H223</f>
        <v/>
      </c>
      <c r="J223">
        <f>G223*H223</f>
        <v/>
      </c>
    </row>
    <row r="224">
      <c r="A224" t="inlineStr">
        <is>
          <t>bear</t>
        </is>
      </c>
      <c r="B224" t="n">
        <v>2033</v>
      </c>
      <c r="C224" t="inlineStr">
        <is>
          <t>organoid_cro_biobank</t>
        </is>
      </c>
      <c r="D224" t="inlineStr">
        <is>
          <t>US</t>
        </is>
      </c>
      <c r="E224" t="n">
        <v>4099809</v>
      </c>
      <c r="F224" t="n">
        <v>2049905</v>
      </c>
      <c r="G224" t="n">
        <v>78.5408</v>
      </c>
      <c r="H224" t="n">
        <v>0.022928</v>
      </c>
      <c r="I224">
        <f>F224*H224</f>
        <v/>
      </c>
      <c r="J224">
        <f>G224*H224</f>
        <v/>
      </c>
    </row>
    <row r="225">
      <c r="A225" t="inlineStr">
        <is>
          <t>bear</t>
        </is>
      </c>
      <c r="B225" t="n">
        <v>2033</v>
      </c>
      <c r="C225" t="inlineStr">
        <is>
          <t>organoid_cro_biobank</t>
        </is>
      </c>
      <c r="D225" t="inlineStr">
        <is>
          <t>EU</t>
        </is>
      </c>
      <c r="E225" t="n">
        <v>2049905</v>
      </c>
      <c r="F225" t="n">
        <v>1024952</v>
      </c>
      <c r="G225" t="n">
        <v>39.2704</v>
      </c>
      <c r="H225" t="n">
        <v>0.022928</v>
      </c>
      <c r="I225">
        <f>F225*H225</f>
        <v/>
      </c>
      <c r="J225">
        <f>G225*H225</f>
        <v/>
      </c>
    </row>
    <row r="226">
      <c r="A226" t="inlineStr">
        <is>
          <t>bear</t>
        </is>
      </c>
      <c r="B226" t="n">
        <v>2033</v>
      </c>
      <c r="C226" t="inlineStr">
        <is>
          <t>organoid_cro_biobank</t>
        </is>
      </c>
      <c r="D226" t="inlineStr">
        <is>
          <t>China</t>
        </is>
      </c>
      <c r="E226" t="n">
        <v>995536</v>
      </c>
      <c r="F226" t="n">
        <v>497768</v>
      </c>
      <c r="G226" t="n">
        <v>43.1974</v>
      </c>
      <c r="H226" t="n">
        <v>0.022928</v>
      </c>
      <c r="I226">
        <f>F226*H226</f>
        <v/>
      </c>
      <c r="J226">
        <f>G226*H226</f>
        <v/>
      </c>
    </row>
    <row r="227">
      <c r="A227" t="inlineStr">
        <is>
          <t>bear</t>
        </is>
      </c>
      <c r="B227" t="n">
        <v>2033</v>
      </c>
      <c r="C227" t="inlineStr">
        <is>
          <t>organoid_cro_biobank</t>
        </is>
      </c>
      <c r="D227" t="inlineStr">
        <is>
          <t>Japan</t>
        </is>
      </c>
      <c r="E227" t="n">
        <v>584223</v>
      </c>
      <c r="F227" t="n">
        <v>292111</v>
      </c>
      <c r="G227" t="n">
        <v>11.7811</v>
      </c>
      <c r="H227" t="n">
        <v>0.022928</v>
      </c>
      <c r="I227">
        <f>F227*H227</f>
        <v/>
      </c>
      <c r="J227">
        <f>G227*H227</f>
        <v/>
      </c>
    </row>
    <row r="228">
      <c r="A228" t="inlineStr">
        <is>
          <t>bear</t>
        </is>
      </c>
      <c r="B228" t="n">
        <v>2033</v>
      </c>
      <c r="C228" t="inlineStr">
        <is>
          <t>organoid_cro_biobank</t>
        </is>
      </c>
      <c r="D228" t="inlineStr">
        <is>
          <t>Korea</t>
        </is>
      </c>
      <c r="E228" t="n">
        <v>461229</v>
      </c>
      <c r="F228" t="n">
        <v>230614</v>
      </c>
      <c r="G228" t="n">
        <v>9.817600000000001</v>
      </c>
      <c r="H228" t="n">
        <v>0.022928</v>
      </c>
      <c r="I228">
        <f>F228*H228</f>
        <v/>
      </c>
      <c r="J228">
        <f>G228*H228</f>
        <v/>
      </c>
    </row>
    <row r="229">
      <c r="A229" t="inlineStr">
        <is>
          <t>bear</t>
        </is>
      </c>
      <c r="B229" t="n">
        <v>2033</v>
      </c>
      <c r="C229" t="inlineStr">
        <is>
          <t>organoid_cro_biobank</t>
        </is>
      </c>
      <c r="D229" t="inlineStr">
        <is>
          <t>RoW</t>
        </is>
      </c>
      <c r="E229" t="n">
        <v>573973</v>
      </c>
      <c r="F229" t="n">
        <v>286987</v>
      </c>
      <c r="G229" t="n">
        <v>13.7446</v>
      </c>
      <c r="H229" t="n">
        <v>0.022928</v>
      </c>
      <c r="I229">
        <f>F229*H229</f>
        <v/>
      </c>
      <c r="J229">
        <f>G229*H229</f>
        <v/>
      </c>
    </row>
    <row r="230">
      <c r="A230" t="inlineStr">
        <is>
          <t>bear</t>
        </is>
      </c>
      <c r="B230" t="n">
        <v>2033</v>
      </c>
      <c r="C230" t="inlineStr">
        <is>
          <t>clinical_dx_pdo</t>
        </is>
      </c>
      <c r="D230" t="inlineStr">
        <is>
          <t>US</t>
        </is>
      </c>
      <c r="E230" t="n">
        <v>482857</v>
      </c>
      <c r="F230" t="n">
        <v>217286</v>
      </c>
      <c r="G230" t="n">
        <v>6.2439</v>
      </c>
      <c r="H230" t="n">
        <v>0.029849</v>
      </c>
      <c r="I230">
        <f>F230*H230</f>
        <v/>
      </c>
      <c r="J230">
        <f>G230*H230</f>
        <v/>
      </c>
    </row>
    <row r="231">
      <c r="A231" t="inlineStr">
        <is>
          <t>bear</t>
        </is>
      </c>
      <c r="B231" t="n">
        <v>2033</v>
      </c>
      <c r="C231" t="inlineStr">
        <is>
          <t>clinical_dx_pdo</t>
        </is>
      </c>
      <c r="D231" t="inlineStr">
        <is>
          <t>EU</t>
        </is>
      </c>
      <c r="E231" t="n">
        <v>289714</v>
      </c>
      <c r="F231" t="n">
        <v>130371</v>
      </c>
      <c r="G231" t="n">
        <v>3.7463</v>
      </c>
      <c r="H231" t="n">
        <v>0.029849</v>
      </c>
      <c r="I231">
        <f>F231*H231</f>
        <v/>
      </c>
      <c r="J231">
        <f>G231*H231</f>
        <v/>
      </c>
    </row>
    <row r="232">
      <c r="A232" t="inlineStr">
        <is>
          <t>bear</t>
        </is>
      </c>
      <c r="B232" t="n">
        <v>2033</v>
      </c>
      <c r="C232" t="inlineStr">
        <is>
          <t>clinical_dx_pdo</t>
        </is>
      </c>
      <c r="D232" t="inlineStr">
        <is>
          <t>China</t>
        </is>
      </c>
      <c r="E232" t="n">
        <v>383726</v>
      </c>
      <c r="F232" t="n">
        <v>172677</v>
      </c>
      <c r="G232" t="n">
        <v>11.239</v>
      </c>
      <c r="H232" t="n">
        <v>0.029849</v>
      </c>
      <c r="I232">
        <f>F232*H232</f>
        <v/>
      </c>
      <c r="J232">
        <f>G232*H232</f>
        <v/>
      </c>
    </row>
    <row r="233">
      <c r="A233" t="inlineStr">
        <is>
          <t>bear</t>
        </is>
      </c>
      <c r="B233" t="n">
        <v>2033</v>
      </c>
      <c r="C233" t="inlineStr">
        <is>
          <t>clinical_dx_pdo</t>
        </is>
      </c>
      <c r="D233" t="inlineStr">
        <is>
          <t>Japan</t>
        </is>
      </c>
      <c r="E233" t="n">
        <v>110091</v>
      </c>
      <c r="F233" t="n">
        <v>49541</v>
      </c>
      <c r="G233" t="n">
        <v>1.4985</v>
      </c>
      <c r="H233" t="n">
        <v>0.029849</v>
      </c>
      <c r="I233">
        <f>F233*H233</f>
        <v/>
      </c>
      <c r="J233">
        <f>G233*H233</f>
        <v/>
      </c>
    </row>
    <row r="234">
      <c r="A234" t="inlineStr">
        <is>
          <t>bear</t>
        </is>
      </c>
      <c r="B234" t="n">
        <v>2033</v>
      </c>
      <c r="C234" t="inlineStr">
        <is>
          <t>clinical_dx_pdo</t>
        </is>
      </c>
      <c r="D234" t="inlineStr">
        <is>
          <t>Korea</t>
        </is>
      </c>
      <c r="E234" t="n">
        <v>86914</v>
      </c>
      <c r="F234" t="n">
        <v>39111</v>
      </c>
      <c r="G234" t="n">
        <v>1.2488</v>
      </c>
      <c r="H234" t="n">
        <v>0.029849</v>
      </c>
      <c r="I234">
        <f>F234*H234</f>
        <v/>
      </c>
      <c r="J234">
        <f>G234*H234</f>
        <v/>
      </c>
    </row>
    <row r="235">
      <c r="A235" t="inlineStr">
        <is>
          <t>bear</t>
        </is>
      </c>
      <c r="B235" t="n">
        <v>2033</v>
      </c>
      <c r="C235" t="inlineStr">
        <is>
          <t>clinical_dx_pdo</t>
        </is>
      </c>
      <c r="D235" t="inlineStr">
        <is>
          <t>RoW</t>
        </is>
      </c>
      <c r="E235" t="n">
        <v>61806</v>
      </c>
      <c r="F235" t="n">
        <v>27813</v>
      </c>
      <c r="G235" t="n">
        <v>0.999</v>
      </c>
      <c r="H235" t="n">
        <v>0.029849</v>
      </c>
      <c r="I235">
        <f>F235*H235</f>
        <v/>
      </c>
      <c r="J235">
        <f>G235*H235</f>
        <v/>
      </c>
    </row>
    <row r="236">
      <c r="A236" t="inlineStr">
        <is>
          <t>bear</t>
        </is>
      </c>
      <c r="B236" t="n">
        <v>2033</v>
      </c>
      <c r="C236" t="inlineStr">
        <is>
          <t>regenerative_gmp</t>
        </is>
      </c>
      <c r="D236" t="inlineStr">
        <is>
          <t>US</t>
        </is>
      </c>
      <c r="E236" t="n">
        <v>100986</v>
      </c>
      <c r="F236" t="n">
        <v>100986</v>
      </c>
      <c r="G236" t="n">
        <v>1.1921</v>
      </c>
      <c r="H236" t="n">
        <v>0.811809</v>
      </c>
      <c r="I236">
        <f>F236*H236</f>
        <v/>
      </c>
      <c r="J236">
        <f>G236*H236</f>
        <v/>
      </c>
    </row>
    <row r="237">
      <c r="A237" t="inlineStr">
        <is>
          <t>bear</t>
        </is>
      </c>
      <c r="B237" t="n">
        <v>2033</v>
      </c>
      <c r="C237" t="inlineStr">
        <is>
          <t>regenerative_gmp</t>
        </is>
      </c>
      <c r="D237" t="inlineStr">
        <is>
          <t>EU</t>
        </is>
      </c>
      <c r="E237" t="n">
        <v>80788</v>
      </c>
      <c r="F237" t="n">
        <v>80788</v>
      </c>
      <c r="G237" t="n">
        <v>0.9537</v>
      </c>
      <c r="H237" t="n">
        <v>0.811809</v>
      </c>
      <c r="I237">
        <f>F237*H237</f>
        <v/>
      </c>
      <c r="J237">
        <f>G237*H237</f>
        <v/>
      </c>
    </row>
    <row r="238">
      <c r="A238" t="inlineStr">
        <is>
          <t>bear</t>
        </is>
      </c>
      <c r="B238" t="n">
        <v>2033</v>
      </c>
      <c r="C238" t="inlineStr">
        <is>
          <t>regenerative_gmp</t>
        </is>
      </c>
      <c r="D238" t="inlineStr">
        <is>
          <t>China</t>
        </is>
      </c>
      <c r="E238" t="n">
        <v>17834</v>
      </c>
      <c r="F238" t="n">
        <v>17834</v>
      </c>
      <c r="G238" t="n">
        <v>0.4768</v>
      </c>
      <c r="H238" t="n">
        <v>0.811809</v>
      </c>
      <c r="I238">
        <f>F238*H238</f>
        <v/>
      </c>
      <c r="J238">
        <f>G238*H238</f>
        <v/>
      </c>
    </row>
    <row r="239">
      <c r="A239" t="inlineStr">
        <is>
          <t>bear</t>
        </is>
      </c>
      <c r="B239" t="n">
        <v>2033</v>
      </c>
      <c r="C239" t="inlineStr">
        <is>
          <t>regenerative_gmp</t>
        </is>
      </c>
      <c r="D239" t="inlineStr">
        <is>
          <t>Japan</t>
        </is>
      </c>
      <c r="E239" t="n">
        <v>153498</v>
      </c>
      <c r="F239" t="n">
        <v>153498</v>
      </c>
      <c r="G239" t="n">
        <v>1.9073</v>
      </c>
      <c r="H239" t="n">
        <v>0.811809</v>
      </c>
      <c r="I239">
        <f>F239*H239</f>
        <v/>
      </c>
      <c r="J239">
        <f>G239*H239</f>
        <v/>
      </c>
    </row>
    <row r="240">
      <c r="A240" t="inlineStr">
        <is>
          <t>bear</t>
        </is>
      </c>
      <c r="B240" t="n">
        <v>2033</v>
      </c>
      <c r="C240" t="inlineStr">
        <is>
          <t>regenerative_gmp</t>
        </is>
      </c>
      <c r="D240" t="inlineStr">
        <is>
          <t>Korea</t>
        </is>
      </c>
      <c r="E240" t="n">
        <v>18177</v>
      </c>
      <c r="F240" t="n">
        <v>18177</v>
      </c>
      <c r="G240" t="n">
        <v>0.2384</v>
      </c>
      <c r="H240" t="n">
        <v>0.811809</v>
      </c>
      <c r="I240">
        <f>F240*H240</f>
        <v/>
      </c>
      <c r="J240">
        <f>G240*H240</f>
        <v/>
      </c>
    </row>
    <row r="241">
      <c r="A241" t="inlineStr">
        <is>
          <t>bear</t>
        </is>
      </c>
      <c r="B241" t="n">
        <v>2033</v>
      </c>
      <c r="C241" t="inlineStr">
        <is>
          <t>regenerative_gmp</t>
        </is>
      </c>
      <c r="D241" t="inlineStr">
        <is>
          <t>RoW</t>
        </is>
      </c>
      <c r="E241" t="n">
        <v>0</v>
      </c>
      <c r="F241" t="n">
        <v>0</v>
      </c>
      <c r="G241" t="n">
        <v>0</v>
      </c>
      <c r="H241" t="n">
        <v>0.811809</v>
      </c>
      <c r="I241">
        <f>F241*H241</f>
        <v/>
      </c>
      <c r="J241">
        <f>G241*H241</f>
        <v/>
      </c>
    </row>
    <row r="242">
      <c r="A242" t="inlineStr">
        <is>
          <t>bear</t>
        </is>
      </c>
      <c r="B242" t="n">
        <v>2034</v>
      </c>
      <c r="C242" t="inlineStr">
        <is>
          <t>academic_ruo</t>
        </is>
      </c>
      <c r="D242" t="inlineStr">
        <is>
          <t>US</t>
        </is>
      </c>
      <c r="E242" t="n">
        <v>6071898</v>
      </c>
      <c r="F242" t="n">
        <v>3703858</v>
      </c>
      <c r="G242" t="n">
        <v>110.8679</v>
      </c>
      <c r="H242" t="n">
        <v>0.09900100000000001</v>
      </c>
      <c r="I242">
        <f>F242*H242</f>
        <v/>
      </c>
      <c r="J242">
        <f>G242*H242</f>
        <v/>
      </c>
    </row>
    <row r="243">
      <c r="A243" t="inlineStr">
        <is>
          <t>bear</t>
        </is>
      </c>
      <c r="B243" t="n">
        <v>2034</v>
      </c>
      <c r="C243" t="inlineStr">
        <is>
          <t>academic_ruo</t>
        </is>
      </c>
      <c r="D243" t="inlineStr">
        <is>
          <t>EU</t>
        </is>
      </c>
      <c r="E243" t="n">
        <v>6695216</v>
      </c>
      <c r="F243" t="n">
        <v>4084082</v>
      </c>
      <c r="G243" t="n">
        <v>122.2492</v>
      </c>
      <c r="H243" t="n">
        <v>0.09900100000000001</v>
      </c>
      <c r="I243">
        <f>F243*H243</f>
        <v/>
      </c>
      <c r="J243">
        <f>G243*H243</f>
        <v/>
      </c>
    </row>
    <row r="244">
      <c r="A244" t="inlineStr">
        <is>
          <t>bear</t>
        </is>
      </c>
      <c r="B244" t="n">
        <v>2034</v>
      </c>
      <c r="C244" t="inlineStr">
        <is>
          <t>academic_ruo</t>
        </is>
      </c>
      <c r="D244" t="inlineStr">
        <is>
          <t>China</t>
        </is>
      </c>
      <c r="E244" t="n">
        <v>3829633</v>
      </c>
      <c r="F244" t="n">
        <v>2336076</v>
      </c>
      <c r="G244" t="n">
        <v>158.3828</v>
      </c>
      <c r="H244" t="n">
        <v>0.09900100000000001</v>
      </c>
      <c r="I244">
        <f>F244*H244</f>
        <v/>
      </c>
      <c r="J244">
        <f>G244*H244</f>
        <v/>
      </c>
    </row>
    <row r="245">
      <c r="A245" t="inlineStr">
        <is>
          <t>bear</t>
        </is>
      </c>
      <c r="B245" t="n">
        <v>2034</v>
      </c>
      <c r="C245" t="inlineStr">
        <is>
          <t>academic_ruo</t>
        </is>
      </c>
      <c r="D245" t="inlineStr">
        <is>
          <t>Japan</t>
        </is>
      </c>
      <c r="E245" t="n">
        <v>1329236</v>
      </c>
      <c r="F245" t="n">
        <v>810834</v>
      </c>
      <c r="G245" t="n">
        <v>25.5482</v>
      </c>
      <c r="H245" t="n">
        <v>0.09900100000000001</v>
      </c>
      <c r="I245">
        <f>F245*H245</f>
        <v/>
      </c>
      <c r="J245">
        <f>G245*H245</f>
        <v/>
      </c>
    </row>
    <row r="246">
      <c r="A246" t="inlineStr">
        <is>
          <t>bear</t>
        </is>
      </c>
      <c r="B246" t="n">
        <v>2034</v>
      </c>
      <c r="C246" t="inlineStr">
        <is>
          <t>academic_ruo</t>
        </is>
      </c>
      <c r="D246" t="inlineStr">
        <is>
          <t>Korea</t>
        </is>
      </c>
      <c r="E246" t="n">
        <v>1129818</v>
      </c>
      <c r="F246" t="n">
        <v>689189</v>
      </c>
      <c r="G246" t="n">
        <v>22.9217</v>
      </c>
      <c r="H246" t="n">
        <v>0.09900100000000001</v>
      </c>
      <c r="I246">
        <f>F246*H246</f>
        <v/>
      </c>
      <c r="J246">
        <f>G246*H246</f>
        <v/>
      </c>
    </row>
    <row r="247">
      <c r="A247" t="inlineStr">
        <is>
          <t>bear</t>
        </is>
      </c>
      <c r="B247" t="n">
        <v>2034</v>
      </c>
      <c r="C247" t="inlineStr">
        <is>
          <t>academic_ruo</t>
        </is>
      </c>
      <c r="D247" t="inlineStr">
        <is>
          <t>RoW</t>
        </is>
      </c>
      <c r="E247" t="n">
        <v>4058975</v>
      </c>
      <c r="F247" t="n">
        <v>2475975</v>
      </c>
      <c r="G247" t="n">
        <v>92.642</v>
      </c>
      <c r="H247" t="n">
        <v>0.09900100000000001</v>
      </c>
      <c r="I247">
        <f>F247*H247</f>
        <v/>
      </c>
      <c r="J247">
        <f>G247*H247</f>
        <v/>
      </c>
    </row>
    <row r="248">
      <c r="A248" t="inlineStr">
        <is>
          <t>bear</t>
        </is>
      </c>
      <c r="B248" t="n">
        <v>2034</v>
      </c>
      <c r="C248" t="inlineStr">
        <is>
          <t>pharma_preclinical_nam</t>
        </is>
      </c>
      <c r="D248" t="inlineStr">
        <is>
          <t>US</t>
        </is>
      </c>
      <c r="E248" t="n">
        <v>11054274</v>
      </c>
      <c r="F248" t="n">
        <v>6079851</v>
      </c>
      <c r="G248" t="n">
        <v>214.1044</v>
      </c>
      <c r="H248" t="n">
        <v>0.171992</v>
      </c>
      <c r="I248">
        <f>F248*H248</f>
        <v/>
      </c>
      <c r="J248">
        <f>G248*H248</f>
        <v/>
      </c>
    </row>
    <row r="249">
      <c r="A249" t="inlineStr">
        <is>
          <t>bear</t>
        </is>
      </c>
      <c r="B249" t="n">
        <v>2034</v>
      </c>
      <c r="C249" t="inlineStr">
        <is>
          <t>pharma_preclinical_nam</t>
        </is>
      </c>
      <c r="D249" t="inlineStr">
        <is>
          <t>EU</t>
        </is>
      </c>
      <c r="E249" t="n">
        <v>6141264</v>
      </c>
      <c r="F249" t="n">
        <v>3377695</v>
      </c>
      <c r="G249" t="n">
        <v>118.9469</v>
      </c>
      <c r="H249" t="n">
        <v>0.171992</v>
      </c>
      <c r="I249">
        <f>F249*H249</f>
        <v/>
      </c>
      <c r="J249">
        <f>G249*H249</f>
        <v/>
      </c>
    </row>
    <row r="250">
      <c r="A250" t="inlineStr">
        <is>
          <t>bear</t>
        </is>
      </c>
      <c r="B250" t="n">
        <v>2034</v>
      </c>
      <c r="C250" t="inlineStr">
        <is>
          <t>pharma_preclinical_nam</t>
        </is>
      </c>
      <c r="D250" t="inlineStr">
        <is>
          <t>China</t>
        </is>
      </c>
      <c r="E250" t="n">
        <v>1626821</v>
      </c>
      <c r="F250" t="n">
        <v>894751</v>
      </c>
      <c r="G250" t="n">
        <v>71.3681</v>
      </c>
      <c r="H250" t="n">
        <v>0.171992</v>
      </c>
      <c r="I250">
        <f>F250*H250</f>
        <v/>
      </c>
      <c r="J250">
        <f>G250*H250</f>
        <v/>
      </c>
    </row>
    <row r="251">
      <c r="A251" t="inlineStr">
        <is>
          <t>bear</t>
        </is>
      </c>
      <c r="B251" t="n">
        <v>2034</v>
      </c>
      <c r="C251" t="inlineStr">
        <is>
          <t>pharma_preclinical_nam</t>
        </is>
      </c>
      <c r="D251" t="inlineStr">
        <is>
          <t>Japan</t>
        </is>
      </c>
      <c r="E251" t="n">
        <v>1633576</v>
      </c>
      <c r="F251" t="n">
        <v>898467</v>
      </c>
      <c r="G251" t="n">
        <v>33.3051</v>
      </c>
      <c r="H251" t="n">
        <v>0.171992</v>
      </c>
      <c r="I251">
        <f>F251*H251</f>
        <v/>
      </c>
      <c r="J251">
        <f>G251*H251</f>
        <v/>
      </c>
    </row>
    <row r="252">
      <c r="A252" t="inlineStr">
        <is>
          <t>bear</t>
        </is>
      </c>
      <c r="B252" t="n">
        <v>2034</v>
      </c>
      <c r="C252" t="inlineStr">
        <is>
          <t>pharma_preclinical_nam</t>
        </is>
      </c>
      <c r="D252" t="inlineStr">
        <is>
          <t>Korea</t>
        </is>
      </c>
      <c r="E252" t="n">
        <v>663256</v>
      </c>
      <c r="F252" t="n">
        <v>364791</v>
      </c>
      <c r="G252" t="n">
        <v>14.2736</v>
      </c>
      <c r="H252" t="n">
        <v>0.171992</v>
      </c>
      <c r="I252">
        <f>F252*H252</f>
        <v/>
      </c>
      <c r="J252">
        <f>G252*H252</f>
        <v/>
      </c>
    </row>
    <row r="253">
      <c r="A253" t="inlineStr">
        <is>
          <t>bear</t>
        </is>
      </c>
      <c r="B253" t="n">
        <v>2034</v>
      </c>
      <c r="C253" t="inlineStr">
        <is>
          <t>pharma_preclinical_nam</t>
        </is>
      </c>
      <c r="D253" t="inlineStr">
        <is>
          <t>RoW</t>
        </is>
      </c>
      <c r="E253" t="n">
        <v>982602</v>
      </c>
      <c r="F253" t="n">
        <v>540431</v>
      </c>
      <c r="G253" t="n">
        <v>23.7894</v>
      </c>
      <c r="H253" t="n">
        <v>0.171992</v>
      </c>
      <c r="I253">
        <f>F253*H253</f>
        <v/>
      </c>
      <c r="J253">
        <f>G253*H253</f>
        <v/>
      </c>
    </row>
    <row r="254">
      <c r="A254" t="inlineStr">
        <is>
          <t>bear</t>
        </is>
      </c>
      <c r="B254" t="n">
        <v>2034</v>
      </c>
      <c r="C254" t="inlineStr">
        <is>
          <t>organoid_cro_biobank</t>
        </is>
      </c>
      <c r="D254" t="inlineStr">
        <is>
          <t>US</t>
        </is>
      </c>
      <c r="E254" t="n">
        <v>4093250</v>
      </c>
      <c r="F254" t="n">
        <v>2046625</v>
      </c>
      <c r="G254" t="n">
        <v>81.6824</v>
      </c>
      <c r="H254" t="n">
        <v>0.025445</v>
      </c>
      <c r="I254">
        <f>F254*H254</f>
        <v/>
      </c>
      <c r="J254">
        <f>G254*H254</f>
        <v/>
      </c>
    </row>
    <row r="255">
      <c r="A255" t="inlineStr">
        <is>
          <t>bear</t>
        </is>
      </c>
      <c r="B255" t="n">
        <v>2034</v>
      </c>
      <c r="C255" t="inlineStr">
        <is>
          <t>organoid_cro_biobank</t>
        </is>
      </c>
      <c r="D255" t="inlineStr">
        <is>
          <t>EU</t>
        </is>
      </c>
      <c r="E255" t="n">
        <v>2046625</v>
      </c>
      <c r="F255" t="n">
        <v>1023312</v>
      </c>
      <c r="G255" t="n">
        <v>40.8412</v>
      </c>
      <c r="H255" t="n">
        <v>0.025445</v>
      </c>
      <c r="I255">
        <f>F255*H255</f>
        <v/>
      </c>
      <c r="J255">
        <f>G255*H255</f>
        <v/>
      </c>
    </row>
    <row r="256">
      <c r="A256" t="inlineStr">
        <is>
          <t>bear</t>
        </is>
      </c>
      <c r="B256" t="n">
        <v>2034</v>
      </c>
      <c r="C256" t="inlineStr">
        <is>
          <t>organoid_cro_biobank</t>
        </is>
      </c>
      <c r="D256" t="inlineStr">
        <is>
          <t>China</t>
        </is>
      </c>
      <c r="E256" t="n">
        <v>993943</v>
      </c>
      <c r="F256" t="n">
        <v>496972</v>
      </c>
      <c r="G256" t="n">
        <v>44.9253</v>
      </c>
      <c r="H256" t="n">
        <v>0.025445</v>
      </c>
      <c r="I256">
        <f>F256*H256</f>
        <v/>
      </c>
      <c r="J256">
        <f>G256*H256</f>
        <v/>
      </c>
    </row>
    <row r="257">
      <c r="A257" t="inlineStr">
        <is>
          <t>bear</t>
        </is>
      </c>
      <c r="B257" t="n">
        <v>2034</v>
      </c>
      <c r="C257" t="inlineStr">
        <is>
          <t>organoid_cro_biobank</t>
        </is>
      </c>
      <c r="D257" t="inlineStr">
        <is>
          <t>Japan</t>
        </is>
      </c>
      <c r="E257" t="n">
        <v>583288</v>
      </c>
      <c r="F257" t="n">
        <v>291644</v>
      </c>
      <c r="G257" t="n">
        <v>12.2524</v>
      </c>
      <c r="H257" t="n">
        <v>0.025445</v>
      </c>
      <c r="I257">
        <f>F257*H257</f>
        <v/>
      </c>
      <c r="J257">
        <f>G257*H257</f>
        <v/>
      </c>
    </row>
    <row r="258">
      <c r="A258" t="inlineStr">
        <is>
          <t>bear</t>
        </is>
      </c>
      <c r="B258" t="n">
        <v>2034</v>
      </c>
      <c r="C258" t="inlineStr">
        <is>
          <t>organoid_cro_biobank</t>
        </is>
      </c>
      <c r="D258" t="inlineStr">
        <is>
          <t>Korea</t>
        </is>
      </c>
      <c r="E258" t="n">
        <v>460491</v>
      </c>
      <c r="F258" t="n">
        <v>230245</v>
      </c>
      <c r="G258" t="n">
        <v>10.2103</v>
      </c>
      <c r="H258" t="n">
        <v>0.025445</v>
      </c>
      <c r="I258">
        <f>F258*H258</f>
        <v/>
      </c>
      <c r="J258">
        <f>G258*H258</f>
        <v/>
      </c>
    </row>
    <row r="259">
      <c r="A259" t="inlineStr">
        <is>
          <t>bear</t>
        </is>
      </c>
      <c r="B259" t="n">
        <v>2034</v>
      </c>
      <c r="C259" t="inlineStr">
        <is>
          <t>organoid_cro_biobank</t>
        </is>
      </c>
      <c r="D259" t="inlineStr">
        <is>
          <t>RoW</t>
        </is>
      </c>
      <c r="E259" t="n">
        <v>573055</v>
      </c>
      <c r="F259" t="n">
        <v>286527</v>
      </c>
      <c r="G259" t="n">
        <v>14.2944</v>
      </c>
      <c r="H259" t="n">
        <v>0.025445</v>
      </c>
      <c r="I259">
        <f>F259*H259</f>
        <v/>
      </c>
      <c r="J259">
        <f>G259*H259</f>
        <v/>
      </c>
    </row>
    <row r="260">
      <c r="A260" t="inlineStr">
        <is>
          <t>bear</t>
        </is>
      </c>
      <c r="B260" t="n">
        <v>2034</v>
      </c>
      <c r="C260" t="inlineStr">
        <is>
          <t>clinical_dx_pdo</t>
        </is>
      </c>
      <c r="D260" t="inlineStr">
        <is>
          <t>US</t>
        </is>
      </c>
      <c r="E260" t="n">
        <v>500626</v>
      </c>
      <c r="F260" t="n">
        <v>225282</v>
      </c>
      <c r="G260" t="n">
        <v>6.7434</v>
      </c>
      <c r="H260" t="n">
        <v>0.033542</v>
      </c>
      <c r="I260">
        <f>F260*H260</f>
        <v/>
      </c>
      <c r="J260">
        <f>G260*H260</f>
        <v/>
      </c>
    </row>
    <row r="261">
      <c r="A261" t="inlineStr">
        <is>
          <t>bear</t>
        </is>
      </c>
      <c r="B261" t="n">
        <v>2034</v>
      </c>
      <c r="C261" t="inlineStr">
        <is>
          <t>clinical_dx_pdo</t>
        </is>
      </c>
      <c r="D261" t="inlineStr">
        <is>
          <t>EU</t>
        </is>
      </c>
      <c r="E261" t="n">
        <v>300376</v>
      </c>
      <c r="F261" t="n">
        <v>135169</v>
      </c>
      <c r="G261" t="n">
        <v>4.046</v>
      </c>
      <c r="H261" t="n">
        <v>0.033542</v>
      </c>
      <c r="I261">
        <f>F261*H261</f>
        <v/>
      </c>
      <c r="J261">
        <f>G261*H261</f>
        <v/>
      </c>
    </row>
    <row r="262">
      <c r="A262" t="inlineStr">
        <is>
          <t>bear</t>
        </is>
      </c>
      <c r="B262" t="n">
        <v>2034</v>
      </c>
      <c r="C262" t="inlineStr">
        <is>
          <t>clinical_dx_pdo</t>
        </is>
      </c>
      <c r="D262" t="inlineStr">
        <is>
          <t>China</t>
        </is>
      </c>
      <c r="E262" t="n">
        <v>397848</v>
      </c>
      <c r="F262" t="n">
        <v>179031</v>
      </c>
      <c r="G262" t="n">
        <v>12.1381</v>
      </c>
      <c r="H262" t="n">
        <v>0.033542</v>
      </c>
      <c r="I262">
        <f>F262*H262</f>
        <v/>
      </c>
      <c r="J262">
        <f>G262*H262</f>
        <v/>
      </c>
    </row>
    <row r="263">
      <c r="A263" t="inlineStr">
        <is>
          <t>bear</t>
        </is>
      </c>
      <c r="B263" t="n">
        <v>2034</v>
      </c>
      <c r="C263" t="inlineStr">
        <is>
          <t>clinical_dx_pdo</t>
        </is>
      </c>
      <c r="D263" t="inlineStr">
        <is>
          <t>Japan</t>
        </is>
      </c>
      <c r="E263" t="n">
        <v>114143</v>
      </c>
      <c r="F263" t="n">
        <v>51364</v>
      </c>
      <c r="G263" t="n">
        <v>1.6184</v>
      </c>
      <c r="H263" t="n">
        <v>0.033542</v>
      </c>
      <c r="I263">
        <f>F263*H263</f>
        <v/>
      </c>
      <c r="J263">
        <f>G263*H263</f>
        <v/>
      </c>
    </row>
    <row r="264">
      <c r="A264" t="inlineStr">
        <is>
          <t>bear</t>
        </is>
      </c>
      <c r="B264" t="n">
        <v>2034</v>
      </c>
      <c r="C264" t="inlineStr">
        <is>
          <t>clinical_dx_pdo</t>
        </is>
      </c>
      <c r="D264" t="inlineStr">
        <is>
          <t>Korea</t>
        </is>
      </c>
      <c r="E264" t="n">
        <v>90113</v>
      </c>
      <c r="F264" t="n">
        <v>40551</v>
      </c>
      <c r="G264" t="n">
        <v>1.3487</v>
      </c>
      <c r="H264" t="n">
        <v>0.033542</v>
      </c>
      <c r="I264">
        <f>F264*H264</f>
        <v/>
      </c>
      <c r="J264">
        <f>G264*H264</f>
        <v/>
      </c>
    </row>
    <row r="265">
      <c r="A265" t="inlineStr">
        <is>
          <t>bear</t>
        </is>
      </c>
      <c r="B265" t="n">
        <v>2034</v>
      </c>
      <c r="C265" t="inlineStr">
        <is>
          <t>clinical_dx_pdo</t>
        </is>
      </c>
      <c r="D265" t="inlineStr">
        <is>
          <t>RoW</t>
        </is>
      </c>
      <c r="E265" t="n">
        <v>64080</v>
      </c>
      <c r="F265" t="n">
        <v>28836</v>
      </c>
      <c r="G265" t="n">
        <v>1.0789</v>
      </c>
      <c r="H265" t="n">
        <v>0.033542</v>
      </c>
      <c r="I265">
        <f>F265*H265</f>
        <v/>
      </c>
      <c r="J265">
        <f>G265*H265</f>
        <v/>
      </c>
    </row>
    <row r="266">
      <c r="A266" t="inlineStr">
        <is>
          <t>bear</t>
        </is>
      </c>
      <c r="B266" t="n">
        <v>2034</v>
      </c>
      <c r="C266" t="inlineStr">
        <is>
          <t>regenerative_gmp</t>
        </is>
      </c>
      <c r="D266" t="inlineStr">
        <is>
          <t>US</t>
        </is>
      </c>
      <c r="E266" t="n">
        <v>121183</v>
      </c>
      <c r="F266" t="n">
        <v>121183</v>
      </c>
      <c r="G266" t="n">
        <v>1.4901</v>
      </c>
      <c r="H266" t="n">
        <v>0.869001</v>
      </c>
      <c r="I266">
        <f>F266*H266</f>
        <v/>
      </c>
      <c r="J266">
        <f>G266*H266</f>
        <v/>
      </c>
    </row>
    <row r="267">
      <c r="A267" t="inlineStr">
        <is>
          <t>bear</t>
        </is>
      </c>
      <c r="B267" t="n">
        <v>2034</v>
      </c>
      <c r="C267" t="inlineStr">
        <is>
          <t>regenerative_gmp</t>
        </is>
      </c>
      <c r="D267" t="inlineStr">
        <is>
          <t>EU</t>
        </is>
      </c>
      <c r="E267" t="n">
        <v>96946</v>
      </c>
      <c r="F267" t="n">
        <v>96946</v>
      </c>
      <c r="G267" t="n">
        <v>1.1921</v>
      </c>
      <c r="H267" t="n">
        <v>0.869001</v>
      </c>
      <c r="I267">
        <f>F267*H267</f>
        <v/>
      </c>
      <c r="J267">
        <f>G267*H267</f>
        <v/>
      </c>
    </row>
    <row r="268">
      <c r="A268" t="inlineStr">
        <is>
          <t>bear</t>
        </is>
      </c>
      <c r="B268" t="n">
        <v>2034</v>
      </c>
      <c r="C268" t="inlineStr">
        <is>
          <t>regenerative_gmp</t>
        </is>
      </c>
      <c r="D268" t="inlineStr">
        <is>
          <t>China</t>
        </is>
      </c>
      <c r="E268" t="n">
        <v>21401</v>
      </c>
      <c r="F268" t="n">
        <v>21401</v>
      </c>
      <c r="G268" t="n">
        <v>0.596</v>
      </c>
      <c r="H268" t="n">
        <v>0.869001</v>
      </c>
      <c r="I268">
        <f>F268*H268</f>
        <v/>
      </c>
      <c r="J268">
        <f>G268*H268</f>
        <v/>
      </c>
    </row>
    <row r="269">
      <c r="A269" t="inlineStr">
        <is>
          <t>bear</t>
        </is>
      </c>
      <c r="B269" t="n">
        <v>2034</v>
      </c>
      <c r="C269" t="inlineStr">
        <is>
          <t>regenerative_gmp</t>
        </is>
      </c>
      <c r="D269" t="inlineStr">
        <is>
          <t>Japan</t>
        </is>
      </c>
      <c r="E269" t="n">
        <v>184198</v>
      </c>
      <c r="F269" t="n">
        <v>184198</v>
      </c>
      <c r="G269" t="n">
        <v>2.3842</v>
      </c>
      <c r="H269" t="n">
        <v>0.869001</v>
      </c>
      <c r="I269">
        <f>F269*H269</f>
        <v/>
      </c>
      <c r="J269">
        <f>G269*H269</f>
        <v/>
      </c>
    </row>
    <row r="270">
      <c r="A270" t="inlineStr">
        <is>
          <t>bear</t>
        </is>
      </c>
      <c r="B270" t="n">
        <v>2034</v>
      </c>
      <c r="C270" t="inlineStr">
        <is>
          <t>regenerative_gmp</t>
        </is>
      </c>
      <c r="D270" t="inlineStr">
        <is>
          <t>Korea</t>
        </is>
      </c>
      <c r="E270" t="n">
        <v>21813</v>
      </c>
      <c r="F270" t="n">
        <v>21813</v>
      </c>
      <c r="G270" t="n">
        <v>0.298</v>
      </c>
      <c r="H270" t="n">
        <v>0.869001</v>
      </c>
      <c r="I270">
        <f>F270*H270</f>
        <v/>
      </c>
      <c r="J270">
        <f>G270*H270</f>
        <v/>
      </c>
    </row>
    <row r="271">
      <c r="A271" t="inlineStr">
        <is>
          <t>bear</t>
        </is>
      </c>
      <c r="B271" t="n">
        <v>2034</v>
      </c>
      <c r="C271" t="inlineStr">
        <is>
          <t>regenerative_gmp</t>
        </is>
      </c>
      <c r="D271" t="inlineStr">
        <is>
          <t>RoW</t>
        </is>
      </c>
      <c r="E271" t="n">
        <v>0</v>
      </c>
      <c r="F271" t="n">
        <v>0</v>
      </c>
      <c r="G271" t="n">
        <v>0</v>
      </c>
      <c r="H271" t="n">
        <v>0.869001</v>
      </c>
      <c r="I271">
        <f>F271*H271</f>
        <v/>
      </c>
      <c r="J271">
        <f>G271*H271</f>
        <v/>
      </c>
    </row>
    <row r="272">
      <c r="A272" t="inlineStr">
        <is>
          <t>bear</t>
        </is>
      </c>
      <c r="B272" t="n">
        <v>2035</v>
      </c>
      <c r="C272" t="inlineStr">
        <is>
          <t>academic_ruo</t>
        </is>
      </c>
      <c r="D272" t="inlineStr">
        <is>
          <t>US</t>
        </is>
      </c>
      <c r="E272" t="n">
        <v>5945603</v>
      </c>
      <c r="F272" t="n">
        <v>3626818</v>
      </c>
      <c r="G272" t="n">
        <v>113.0853</v>
      </c>
      <c r="H272" t="n">
        <v>0.115913</v>
      </c>
      <c r="I272">
        <f>F272*H272</f>
        <v/>
      </c>
      <c r="J272">
        <f>G272*H272</f>
        <v/>
      </c>
    </row>
    <row r="273">
      <c r="A273" t="inlineStr">
        <is>
          <t>bear</t>
        </is>
      </c>
      <c r="B273" t="n">
        <v>2035</v>
      </c>
      <c r="C273" t="inlineStr">
        <is>
          <t>academic_ruo</t>
        </is>
      </c>
      <c r="D273" t="inlineStr">
        <is>
          <t>EU</t>
        </is>
      </c>
      <c r="E273" t="n">
        <v>6555955</v>
      </c>
      <c r="F273" t="n">
        <v>3999133</v>
      </c>
      <c r="G273" t="n">
        <v>124.6942</v>
      </c>
      <c r="H273" t="n">
        <v>0.115913</v>
      </c>
      <c r="I273">
        <f>F273*H273</f>
        <v/>
      </c>
      <c r="J273">
        <f>G273*H273</f>
        <v/>
      </c>
    </row>
    <row r="274">
      <c r="A274" t="inlineStr">
        <is>
          <t>bear</t>
        </is>
      </c>
      <c r="B274" t="n">
        <v>2035</v>
      </c>
      <c r="C274" t="inlineStr">
        <is>
          <t>academic_ruo</t>
        </is>
      </c>
      <c r="D274" t="inlineStr">
        <is>
          <t>China</t>
        </is>
      </c>
      <c r="E274" t="n">
        <v>3749977</v>
      </c>
      <c r="F274" t="n">
        <v>2287486</v>
      </c>
      <c r="G274" t="n">
        <v>161.5504</v>
      </c>
      <c r="H274" t="n">
        <v>0.115913</v>
      </c>
      <c r="I274">
        <f>F274*H274</f>
        <v/>
      </c>
      <c r="J274">
        <f>G274*H274</f>
        <v/>
      </c>
    </row>
    <row r="275">
      <c r="A275" t="inlineStr">
        <is>
          <t>bear</t>
        </is>
      </c>
      <c r="B275" t="n">
        <v>2035</v>
      </c>
      <c r="C275" t="inlineStr">
        <is>
          <t>academic_ruo</t>
        </is>
      </c>
      <c r="D275" t="inlineStr">
        <is>
          <t>Japan</t>
        </is>
      </c>
      <c r="E275" t="n">
        <v>1301588</v>
      </c>
      <c r="F275" t="n">
        <v>793968</v>
      </c>
      <c r="G275" t="n">
        <v>26.0591</v>
      </c>
      <c r="H275" t="n">
        <v>0.115913</v>
      </c>
      <c r="I275">
        <f>F275*H275</f>
        <v/>
      </c>
      <c r="J275">
        <f>G275*H275</f>
        <v/>
      </c>
    </row>
    <row r="276">
      <c r="A276" t="inlineStr">
        <is>
          <t>bear</t>
        </is>
      </c>
      <c r="B276" t="n">
        <v>2035</v>
      </c>
      <c r="C276" t="inlineStr">
        <is>
          <t>academic_ruo</t>
        </is>
      </c>
      <c r="D276" t="inlineStr">
        <is>
          <t>Korea</t>
        </is>
      </c>
      <c r="E276" t="n">
        <v>1106317</v>
      </c>
      <c r="F276" t="n">
        <v>674854</v>
      </c>
      <c r="G276" t="n">
        <v>23.3802</v>
      </c>
      <c r="H276" t="n">
        <v>0.115913</v>
      </c>
      <c r="I276">
        <f>F276*H276</f>
        <v/>
      </c>
      <c r="J276">
        <f>G276*H276</f>
        <v/>
      </c>
    </row>
    <row r="277">
      <c r="A277" t="inlineStr">
        <is>
          <t>bear</t>
        </is>
      </c>
      <c r="B277" t="n">
        <v>2035</v>
      </c>
      <c r="C277" t="inlineStr">
        <is>
          <t>academic_ruo</t>
        </is>
      </c>
      <c r="D277" t="inlineStr">
        <is>
          <t>RoW</t>
        </is>
      </c>
      <c r="E277" t="n">
        <v>3974548</v>
      </c>
      <c r="F277" t="n">
        <v>2424474</v>
      </c>
      <c r="G277" t="n">
        <v>94.4948</v>
      </c>
      <c r="H277" t="n">
        <v>0.115913</v>
      </c>
      <c r="I277">
        <f>F277*H277</f>
        <v/>
      </c>
      <c r="J277">
        <f>G277*H277</f>
        <v/>
      </c>
    </row>
    <row r="278">
      <c r="A278" t="inlineStr">
        <is>
          <t>bear</t>
        </is>
      </c>
      <c r="B278" t="n">
        <v>2035</v>
      </c>
      <c r="C278" t="inlineStr">
        <is>
          <t>pharma_preclinical_nam</t>
        </is>
      </c>
      <c r="D278" t="inlineStr">
        <is>
          <t>US</t>
        </is>
      </c>
      <c r="E278" t="n">
        <v>12228588</v>
      </c>
      <c r="F278" t="n">
        <v>6725723</v>
      </c>
      <c r="G278" t="n">
        <v>246.7178</v>
      </c>
      <c r="H278" t="n">
        <v>0.202413</v>
      </c>
      <c r="I278">
        <f>F278*H278</f>
        <v/>
      </c>
      <c r="J278">
        <f>G278*H278</f>
        <v/>
      </c>
    </row>
    <row r="279">
      <c r="A279" t="inlineStr">
        <is>
          <t>bear</t>
        </is>
      </c>
      <c r="B279" t="n">
        <v>2035</v>
      </c>
      <c r="C279" t="inlineStr">
        <is>
          <t>pharma_preclinical_nam</t>
        </is>
      </c>
      <c r="D279" t="inlineStr">
        <is>
          <t>EU</t>
        </is>
      </c>
      <c r="E279" t="n">
        <v>6793660</v>
      </c>
      <c r="F279" t="n">
        <v>3736513</v>
      </c>
      <c r="G279" t="n">
        <v>137.0654</v>
      </c>
      <c r="H279" t="n">
        <v>0.202413</v>
      </c>
      <c r="I279">
        <f>F279*H279</f>
        <v/>
      </c>
      <c r="J279">
        <f>G279*H279</f>
        <v/>
      </c>
    </row>
    <row r="280">
      <c r="A280" t="inlineStr">
        <is>
          <t>bear</t>
        </is>
      </c>
      <c r="B280" t="n">
        <v>2035</v>
      </c>
      <c r="C280" t="inlineStr">
        <is>
          <t>pharma_preclinical_nam</t>
        </is>
      </c>
      <c r="D280" t="inlineStr">
        <is>
          <t>China</t>
        </is>
      </c>
      <c r="E280" t="n">
        <v>1799641</v>
      </c>
      <c r="F280" t="n">
        <v>989802</v>
      </c>
      <c r="G280" t="n">
        <v>82.2393</v>
      </c>
      <c r="H280" t="n">
        <v>0.202413</v>
      </c>
      <c r="I280">
        <f>F280*H280</f>
        <v/>
      </c>
      <c r="J280">
        <f>G280*H280</f>
        <v/>
      </c>
    </row>
    <row r="281">
      <c r="A281" t="inlineStr">
        <is>
          <t>bear</t>
        </is>
      </c>
      <c r="B281" t="n">
        <v>2035</v>
      </c>
      <c r="C281" t="inlineStr">
        <is>
          <t>pharma_preclinical_nam</t>
        </is>
      </c>
      <c r="D281" t="inlineStr">
        <is>
          <t>Japan</t>
        </is>
      </c>
      <c r="E281" t="n">
        <v>1807114</v>
      </c>
      <c r="F281" t="n">
        <v>993912</v>
      </c>
      <c r="G281" t="n">
        <v>38.3783</v>
      </c>
      <c r="H281" t="n">
        <v>0.202413</v>
      </c>
      <c r="I281">
        <f>F281*H281</f>
        <v/>
      </c>
      <c r="J281">
        <f>G281*H281</f>
        <v/>
      </c>
    </row>
    <row r="282">
      <c r="A282" t="inlineStr">
        <is>
          <t>bear</t>
        </is>
      </c>
      <c r="B282" t="n">
        <v>2035</v>
      </c>
      <c r="C282" t="inlineStr">
        <is>
          <t>pharma_preclinical_nam</t>
        </is>
      </c>
      <c r="D282" t="inlineStr">
        <is>
          <t>Korea</t>
        </is>
      </c>
      <c r="E282" t="n">
        <v>733715</v>
      </c>
      <c r="F282" t="n">
        <v>403543</v>
      </c>
      <c r="G282" t="n">
        <v>16.4479</v>
      </c>
      <c r="H282" t="n">
        <v>0.202413</v>
      </c>
      <c r="I282">
        <f>F282*H282</f>
        <v/>
      </c>
      <c r="J282">
        <f>G282*H282</f>
        <v/>
      </c>
    </row>
    <row r="283">
      <c r="A283" t="inlineStr">
        <is>
          <t>bear</t>
        </is>
      </c>
      <c r="B283" t="n">
        <v>2035</v>
      </c>
      <c r="C283" t="inlineStr">
        <is>
          <t>pharma_preclinical_nam</t>
        </is>
      </c>
      <c r="D283" t="inlineStr">
        <is>
          <t>RoW</t>
        </is>
      </c>
      <c r="E283" t="n">
        <v>1086986</v>
      </c>
      <c r="F283" t="n">
        <v>597842</v>
      </c>
      <c r="G283" t="n">
        <v>27.4131</v>
      </c>
      <c r="H283" t="n">
        <v>0.202413</v>
      </c>
      <c r="I283">
        <f>F283*H283</f>
        <v/>
      </c>
      <c r="J283">
        <f>G283*H283</f>
        <v/>
      </c>
    </row>
    <row r="284">
      <c r="A284" t="inlineStr">
        <is>
          <t>bear</t>
        </is>
      </c>
      <c r="B284" t="n">
        <v>2035</v>
      </c>
      <c r="C284" t="inlineStr">
        <is>
          <t>organoid_cro_biobank</t>
        </is>
      </c>
      <c r="D284" t="inlineStr">
        <is>
          <t>US</t>
        </is>
      </c>
      <c r="E284" t="n">
        <v>4086700</v>
      </c>
      <c r="F284" t="n">
        <v>2043350</v>
      </c>
      <c r="G284" t="n">
        <v>84.94970000000001</v>
      </c>
      <c r="H284" t="n">
        <v>0.028225</v>
      </c>
      <c r="I284">
        <f>F284*H284</f>
        <v/>
      </c>
      <c r="J284">
        <f>G284*H284</f>
        <v/>
      </c>
    </row>
    <row r="285">
      <c r="A285" t="inlineStr">
        <is>
          <t>bear</t>
        </is>
      </c>
      <c r="B285" t="n">
        <v>2035</v>
      </c>
      <c r="C285" t="inlineStr">
        <is>
          <t>organoid_cro_biobank</t>
        </is>
      </c>
      <c r="D285" t="inlineStr">
        <is>
          <t>EU</t>
        </is>
      </c>
      <c r="E285" t="n">
        <v>2043350</v>
      </c>
      <c r="F285" t="n">
        <v>1021675</v>
      </c>
      <c r="G285" t="n">
        <v>42.4749</v>
      </c>
      <c r="H285" t="n">
        <v>0.028225</v>
      </c>
      <c r="I285">
        <f>F285*H285</f>
        <v/>
      </c>
      <c r="J285">
        <f>G285*H285</f>
        <v/>
      </c>
    </row>
    <row r="286">
      <c r="A286" t="inlineStr">
        <is>
          <t>bear</t>
        </is>
      </c>
      <c r="B286" t="n">
        <v>2035</v>
      </c>
      <c r="C286" t="inlineStr">
        <is>
          <t>organoid_cro_biobank</t>
        </is>
      </c>
      <c r="D286" t="inlineStr">
        <is>
          <t>China</t>
        </is>
      </c>
      <c r="E286" t="n">
        <v>992353</v>
      </c>
      <c r="F286" t="n">
        <v>496177</v>
      </c>
      <c r="G286" t="n">
        <v>46.7223</v>
      </c>
      <c r="H286" t="n">
        <v>0.028225</v>
      </c>
      <c r="I286">
        <f>F286*H286</f>
        <v/>
      </c>
      <c r="J286">
        <f>G286*H286</f>
        <v/>
      </c>
    </row>
    <row r="287">
      <c r="A287" t="inlineStr">
        <is>
          <t>bear</t>
        </is>
      </c>
      <c r="B287" t="n">
        <v>2035</v>
      </c>
      <c r="C287" t="inlineStr">
        <is>
          <t>organoid_cro_biobank</t>
        </is>
      </c>
      <c r="D287" t="inlineStr">
        <is>
          <t>Japan</t>
        </is>
      </c>
      <c r="E287" t="n">
        <v>582355</v>
      </c>
      <c r="F287" t="n">
        <v>291177</v>
      </c>
      <c r="G287" t="n">
        <v>12.7425</v>
      </c>
      <c r="H287" t="n">
        <v>0.028225</v>
      </c>
      <c r="I287">
        <f>F287*H287</f>
        <v/>
      </c>
      <c r="J287">
        <f>G287*H287</f>
        <v/>
      </c>
    </row>
    <row r="288">
      <c r="A288" t="inlineStr">
        <is>
          <t>bear</t>
        </is>
      </c>
      <c r="B288" t="n">
        <v>2035</v>
      </c>
      <c r="C288" t="inlineStr">
        <is>
          <t>organoid_cro_biobank</t>
        </is>
      </c>
      <c r="D288" t="inlineStr">
        <is>
          <t>Korea</t>
        </is>
      </c>
      <c r="E288" t="n">
        <v>459754</v>
      </c>
      <c r="F288" t="n">
        <v>229877</v>
      </c>
      <c r="G288" t="n">
        <v>10.6187</v>
      </c>
      <c r="H288" t="n">
        <v>0.028225</v>
      </c>
      <c r="I288">
        <f>F288*H288</f>
        <v/>
      </c>
      <c r="J288">
        <f>G288*H288</f>
        <v/>
      </c>
    </row>
    <row r="289">
      <c r="A289" t="inlineStr">
        <is>
          <t>bear</t>
        </is>
      </c>
      <c r="B289" t="n">
        <v>2035</v>
      </c>
      <c r="C289" t="inlineStr">
        <is>
          <t>organoid_cro_biobank</t>
        </is>
      </c>
      <c r="D289" t="inlineStr">
        <is>
          <t>RoW</t>
        </is>
      </c>
      <c r="E289" t="n">
        <v>572138</v>
      </c>
      <c r="F289" t="n">
        <v>286069</v>
      </c>
      <c r="G289" t="n">
        <v>14.8662</v>
      </c>
      <c r="H289" t="n">
        <v>0.028225</v>
      </c>
      <c r="I289">
        <f>F289*H289</f>
        <v/>
      </c>
      <c r="J289">
        <f>G289*H289</f>
        <v/>
      </c>
    </row>
    <row r="290">
      <c r="A290" t="inlineStr">
        <is>
          <t>bear</t>
        </is>
      </c>
      <c r="B290" t="n">
        <v>2035</v>
      </c>
      <c r="C290" t="inlineStr">
        <is>
          <t>clinical_dx_pdo</t>
        </is>
      </c>
      <c r="D290" t="inlineStr">
        <is>
          <t>US</t>
        </is>
      </c>
      <c r="E290" t="n">
        <v>519049</v>
      </c>
      <c r="F290" t="n">
        <v>233572</v>
      </c>
      <c r="G290" t="n">
        <v>7.2829</v>
      </c>
      <c r="H290" t="n">
        <v>0.037662</v>
      </c>
      <c r="I290">
        <f>F290*H290</f>
        <v/>
      </c>
      <c r="J290">
        <f>G290*H290</f>
        <v/>
      </c>
    </row>
    <row r="291">
      <c r="A291" t="inlineStr">
        <is>
          <t>bear</t>
        </is>
      </c>
      <c r="B291" t="n">
        <v>2035</v>
      </c>
      <c r="C291" t="inlineStr">
        <is>
          <t>clinical_dx_pdo</t>
        </is>
      </c>
      <c r="D291" t="inlineStr">
        <is>
          <t>EU</t>
        </is>
      </c>
      <c r="E291" t="n">
        <v>311430</v>
      </c>
      <c r="F291" t="n">
        <v>140143</v>
      </c>
      <c r="G291" t="n">
        <v>4.3697</v>
      </c>
      <c r="H291" t="n">
        <v>0.037662</v>
      </c>
      <c r="I291">
        <f>F291*H291</f>
        <v/>
      </c>
      <c r="J291">
        <f>G291*H291</f>
        <v/>
      </c>
    </row>
    <row r="292">
      <c r="A292" t="inlineStr">
        <is>
          <t>bear</t>
        </is>
      </c>
      <c r="B292" t="n">
        <v>2035</v>
      </c>
      <c r="C292" t="inlineStr">
        <is>
          <t>clinical_dx_pdo</t>
        </is>
      </c>
      <c r="D292" t="inlineStr">
        <is>
          <t>China</t>
        </is>
      </c>
      <c r="E292" t="n">
        <v>412488</v>
      </c>
      <c r="F292" t="n">
        <v>185620</v>
      </c>
      <c r="G292" t="n">
        <v>13.1091</v>
      </c>
      <c r="H292" t="n">
        <v>0.037662</v>
      </c>
      <c r="I292">
        <f>F292*H292</f>
        <v/>
      </c>
      <c r="J292">
        <f>G292*H292</f>
        <v/>
      </c>
    </row>
    <row r="293">
      <c r="A293" t="inlineStr">
        <is>
          <t>bear</t>
        </is>
      </c>
      <c r="B293" t="n">
        <v>2035</v>
      </c>
      <c r="C293" t="inlineStr">
        <is>
          <t>clinical_dx_pdo</t>
        </is>
      </c>
      <c r="D293" t="inlineStr">
        <is>
          <t>Japan</t>
        </is>
      </c>
      <c r="E293" t="n">
        <v>118343</v>
      </c>
      <c r="F293" t="n">
        <v>53254</v>
      </c>
      <c r="G293" t="n">
        <v>1.7479</v>
      </c>
      <c r="H293" t="n">
        <v>0.037662</v>
      </c>
      <c r="I293">
        <f>F293*H293</f>
        <v/>
      </c>
      <c r="J293">
        <f>G293*H293</f>
        <v/>
      </c>
    </row>
    <row r="294">
      <c r="A294" t="inlineStr">
        <is>
          <t>bear</t>
        </is>
      </c>
      <c r="B294" t="n">
        <v>2035</v>
      </c>
      <c r="C294" t="inlineStr">
        <is>
          <t>clinical_dx_pdo</t>
        </is>
      </c>
      <c r="D294" t="inlineStr">
        <is>
          <t>Korea</t>
        </is>
      </c>
      <c r="E294" t="n">
        <v>93429</v>
      </c>
      <c r="F294" t="n">
        <v>42043</v>
      </c>
      <c r="G294" t="n">
        <v>1.4566</v>
      </c>
      <c r="H294" t="n">
        <v>0.037662</v>
      </c>
      <c r="I294">
        <f>F294*H294</f>
        <v/>
      </c>
      <c r="J294">
        <f>G294*H294</f>
        <v/>
      </c>
    </row>
    <row r="295">
      <c r="A295" t="inlineStr">
        <is>
          <t>bear</t>
        </is>
      </c>
      <c r="B295" t="n">
        <v>2035</v>
      </c>
      <c r="C295" t="inlineStr">
        <is>
          <t>clinical_dx_pdo</t>
        </is>
      </c>
      <c r="D295" t="inlineStr">
        <is>
          <t>RoW</t>
        </is>
      </c>
      <c r="E295" t="n">
        <v>66438</v>
      </c>
      <c r="F295" t="n">
        <v>29897</v>
      </c>
      <c r="G295" t="n">
        <v>1.1653</v>
      </c>
      <c r="H295" t="n">
        <v>0.037662</v>
      </c>
      <c r="I295">
        <f>F295*H295</f>
        <v/>
      </c>
      <c r="J295">
        <f>G295*H295</f>
        <v/>
      </c>
    </row>
    <row r="296">
      <c r="A296" t="inlineStr">
        <is>
          <t>bear</t>
        </is>
      </c>
      <c r="B296" t="n">
        <v>2035</v>
      </c>
      <c r="C296" t="inlineStr">
        <is>
          <t>regenerative_gmp</t>
        </is>
      </c>
      <c r="D296" t="inlineStr">
        <is>
          <t>US</t>
        </is>
      </c>
      <c r="E296" t="n">
        <v>145419</v>
      </c>
      <c r="F296" t="n">
        <v>145419</v>
      </c>
      <c r="G296" t="n">
        <v>1.8626</v>
      </c>
      <c r="H296" t="n">
        <v>0.9107229999999999</v>
      </c>
      <c r="I296">
        <f>F296*H296</f>
        <v/>
      </c>
      <c r="J296">
        <f>G296*H296</f>
        <v/>
      </c>
    </row>
    <row r="297">
      <c r="A297" t="inlineStr">
        <is>
          <t>bear</t>
        </is>
      </c>
      <c r="B297" t="n">
        <v>2035</v>
      </c>
      <c r="C297" t="inlineStr">
        <is>
          <t>regenerative_gmp</t>
        </is>
      </c>
      <c r="D297" t="inlineStr">
        <is>
          <t>EU</t>
        </is>
      </c>
      <c r="E297" t="n">
        <v>116335</v>
      </c>
      <c r="F297" t="n">
        <v>116335</v>
      </c>
      <c r="G297" t="n">
        <v>1.4901</v>
      </c>
      <c r="H297" t="n">
        <v>0.9107229999999999</v>
      </c>
      <c r="I297">
        <f>F297*H297</f>
        <v/>
      </c>
      <c r="J297">
        <f>G297*H297</f>
        <v/>
      </c>
    </row>
    <row r="298">
      <c r="A298" t="inlineStr">
        <is>
          <t>bear</t>
        </is>
      </c>
      <c r="B298" t="n">
        <v>2035</v>
      </c>
      <c r="C298" t="inlineStr">
        <is>
          <t>regenerative_gmp</t>
        </is>
      </c>
      <c r="D298" t="inlineStr">
        <is>
          <t>China</t>
        </is>
      </c>
      <c r="E298" t="n">
        <v>25681</v>
      </c>
      <c r="F298" t="n">
        <v>25681</v>
      </c>
      <c r="G298" t="n">
        <v>0.7451</v>
      </c>
      <c r="H298" t="n">
        <v>0.9107229999999999</v>
      </c>
      <c r="I298">
        <f>F298*H298</f>
        <v/>
      </c>
      <c r="J298">
        <f>G298*H298</f>
        <v/>
      </c>
    </row>
    <row r="299">
      <c r="A299" t="inlineStr">
        <is>
          <t>bear</t>
        </is>
      </c>
      <c r="B299" t="n">
        <v>2035</v>
      </c>
      <c r="C299" t="inlineStr">
        <is>
          <t>regenerative_gmp</t>
        </is>
      </c>
      <c r="D299" t="inlineStr">
        <is>
          <t>Japan</t>
        </is>
      </c>
      <c r="E299" t="n">
        <v>221037</v>
      </c>
      <c r="F299" t="n">
        <v>221037</v>
      </c>
      <c r="G299" t="n">
        <v>2.9802</v>
      </c>
      <c r="H299" t="n">
        <v>0.9107229999999999</v>
      </c>
      <c r="I299">
        <f>F299*H299</f>
        <v/>
      </c>
      <c r="J299">
        <f>G299*H299</f>
        <v/>
      </c>
    </row>
    <row r="300">
      <c r="A300" t="inlineStr">
        <is>
          <t>bear</t>
        </is>
      </c>
      <c r="B300" t="n">
        <v>2035</v>
      </c>
      <c r="C300" t="inlineStr">
        <is>
          <t>regenerative_gmp</t>
        </is>
      </c>
      <c r="D300" t="inlineStr">
        <is>
          <t>Korea</t>
        </is>
      </c>
      <c r="E300" t="n">
        <v>26175</v>
      </c>
      <c r="F300" t="n">
        <v>26175</v>
      </c>
      <c r="G300" t="n">
        <v>0.3725</v>
      </c>
      <c r="H300" t="n">
        <v>0.9107229999999999</v>
      </c>
      <c r="I300">
        <f>F300*H300</f>
        <v/>
      </c>
      <c r="J300">
        <f>G300*H300</f>
        <v/>
      </c>
    </row>
    <row r="301">
      <c r="A301" t="inlineStr">
        <is>
          <t>bear</t>
        </is>
      </c>
      <c r="B301" t="n">
        <v>2035</v>
      </c>
      <c r="C301" t="inlineStr">
        <is>
          <t>regenerative_gmp</t>
        </is>
      </c>
      <c r="D301" t="inlineStr">
        <is>
          <t>RoW</t>
        </is>
      </c>
      <c r="E301" t="n">
        <v>0</v>
      </c>
      <c r="F301" t="n">
        <v>0</v>
      </c>
      <c r="G301" t="n">
        <v>0</v>
      </c>
      <c r="H301" t="n">
        <v>0.9107229999999999</v>
      </c>
      <c r="I301">
        <f>F301*H301</f>
        <v/>
      </c>
      <c r="J301">
        <f>G301*H301</f>
        <v/>
      </c>
    </row>
    <row r="302">
      <c r="A302" t="inlineStr">
        <is>
          <t>base</t>
        </is>
      </c>
      <c r="B302" t="n">
        <v>2026</v>
      </c>
      <c r="C302" t="inlineStr">
        <is>
          <t>academic_ruo</t>
        </is>
      </c>
      <c r="D302" t="inlineStr">
        <is>
          <t>US</t>
        </is>
      </c>
      <c r="E302" t="n">
        <v>7111621</v>
      </c>
      <c r="F302" t="n">
        <v>4338089</v>
      </c>
      <c r="G302" t="n">
        <v>91.7625</v>
      </c>
      <c r="H302" t="n">
        <v>0.038182</v>
      </c>
      <c r="I302">
        <f>F302*H302</f>
        <v/>
      </c>
      <c r="J302">
        <f>G302*H302</f>
        <v/>
      </c>
    </row>
    <row r="303">
      <c r="A303" t="inlineStr">
        <is>
          <t>base</t>
        </is>
      </c>
      <c r="B303" t="n">
        <v>2026</v>
      </c>
      <c r="C303" t="inlineStr">
        <is>
          <t>academic_ruo</t>
        </is>
      </c>
      <c r="D303" t="inlineStr">
        <is>
          <t>EU</t>
        </is>
      </c>
      <c r="E303" t="n">
        <v>7841672</v>
      </c>
      <c r="F303" t="n">
        <v>4783420</v>
      </c>
      <c r="G303" t="n">
        <v>101.1824</v>
      </c>
      <c r="H303" t="n">
        <v>0.038182</v>
      </c>
      <c r="I303">
        <f>F303*H303</f>
        <v/>
      </c>
      <c r="J303">
        <f>G303*H303</f>
        <v/>
      </c>
    </row>
    <row r="304">
      <c r="A304" t="inlineStr">
        <is>
          <t>base</t>
        </is>
      </c>
      <c r="B304" t="n">
        <v>2026</v>
      </c>
      <c r="C304" t="inlineStr">
        <is>
          <t>academic_ruo</t>
        </is>
      </c>
      <c r="D304" t="inlineStr">
        <is>
          <t>China</t>
        </is>
      </c>
      <c r="E304" t="n">
        <v>4485401</v>
      </c>
      <c r="F304" t="n">
        <v>2736094</v>
      </c>
      <c r="G304" t="n">
        <v>131.0892</v>
      </c>
      <c r="H304" t="n">
        <v>0.038182</v>
      </c>
      <c r="I304">
        <f>F304*H304</f>
        <v/>
      </c>
      <c r="J304">
        <f>G304*H304</f>
        <v/>
      </c>
    </row>
    <row r="305">
      <c r="A305" t="inlineStr">
        <is>
          <t>base</t>
        </is>
      </c>
      <c r="B305" t="n">
        <v>2026</v>
      </c>
      <c r="C305" t="inlineStr">
        <is>
          <t>academic_ruo</t>
        </is>
      </c>
      <c r="D305" t="inlineStr">
        <is>
          <t>Japan</t>
        </is>
      </c>
      <c r="E305" t="n">
        <v>1556848</v>
      </c>
      <c r="F305" t="n">
        <v>949677</v>
      </c>
      <c r="G305" t="n">
        <v>21.1455</v>
      </c>
      <c r="H305" t="n">
        <v>0.038182</v>
      </c>
      <c r="I305">
        <f>F305*H305</f>
        <v/>
      </c>
      <c r="J305">
        <f>G305*H305</f>
        <v/>
      </c>
    </row>
    <row r="306">
      <c r="A306" t="inlineStr">
        <is>
          <t>base</t>
        </is>
      </c>
      <c r="B306" t="n">
        <v>2026</v>
      </c>
      <c r="C306" t="inlineStr">
        <is>
          <t>academic_ruo</t>
        </is>
      </c>
      <c r="D306" t="inlineStr">
        <is>
          <t>Korea</t>
        </is>
      </c>
      <c r="E306" t="n">
        <v>1323282</v>
      </c>
      <c r="F306" t="n">
        <v>807202</v>
      </c>
      <c r="G306" t="n">
        <v>18.9717</v>
      </c>
      <c r="H306" t="n">
        <v>0.038182</v>
      </c>
      <c r="I306">
        <f>F306*H306</f>
        <v/>
      </c>
      <c r="J306">
        <f>G306*H306</f>
        <v/>
      </c>
    </row>
    <row r="307">
      <c r="A307" t="inlineStr">
        <is>
          <t>base</t>
        </is>
      </c>
      <c r="B307" t="n">
        <v>2026</v>
      </c>
      <c r="C307" t="inlineStr">
        <is>
          <t>academic_ruo</t>
        </is>
      </c>
      <c r="D307" t="inlineStr">
        <is>
          <t>RoW</t>
        </is>
      </c>
      <c r="E307" t="n">
        <v>4754014</v>
      </c>
      <c r="F307" t="n">
        <v>2899948</v>
      </c>
      <c r="G307" t="n">
        <v>76.6773</v>
      </c>
      <c r="H307" t="n">
        <v>0.038182</v>
      </c>
      <c r="I307">
        <f>F307*H307</f>
        <v/>
      </c>
      <c r="J307">
        <f>G307*H307</f>
        <v/>
      </c>
    </row>
    <row r="308">
      <c r="A308" t="inlineStr">
        <is>
          <t>base</t>
        </is>
      </c>
      <c r="B308" t="n">
        <v>2026</v>
      </c>
      <c r="C308" t="inlineStr">
        <is>
          <t>pharma_preclinical_nam</t>
        </is>
      </c>
      <c r="D308" t="inlineStr">
        <is>
          <t>US</t>
        </is>
      </c>
      <c r="E308" t="n">
        <v>6155669</v>
      </c>
      <c r="F308" t="n">
        <v>3385618</v>
      </c>
      <c r="G308" t="n">
        <v>84.2531</v>
      </c>
      <c r="H308" t="n">
        <v>0.052818</v>
      </c>
      <c r="I308">
        <f>F308*H308</f>
        <v/>
      </c>
      <c r="J308">
        <f>G308*H308</f>
        <v/>
      </c>
    </row>
    <row r="309">
      <c r="A309" t="inlineStr">
        <is>
          <t>base</t>
        </is>
      </c>
      <c r="B309" t="n">
        <v>2026</v>
      </c>
      <c r="C309" t="inlineStr">
        <is>
          <t>pharma_preclinical_nam</t>
        </is>
      </c>
      <c r="D309" t="inlineStr">
        <is>
          <t>EU</t>
        </is>
      </c>
      <c r="E309" t="n">
        <v>3419816</v>
      </c>
      <c r="F309" t="n">
        <v>1880899</v>
      </c>
      <c r="G309" t="n">
        <v>46.8073</v>
      </c>
      <c r="H309" t="n">
        <v>0.052818</v>
      </c>
      <c r="I309">
        <f>F309*H309</f>
        <v/>
      </c>
      <c r="J309">
        <f>G309*H309</f>
        <v/>
      </c>
    </row>
    <row r="310">
      <c r="A310" t="inlineStr">
        <is>
          <t>base</t>
        </is>
      </c>
      <c r="B310" t="n">
        <v>2026</v>
      </c>
      <c r="C310" t="inlineStr">
        <is>
          <t>pharma_preclinical_nam</t>
        </is>
      </c>
      <c r="D310" t="inlineStr">
        <is>
          <t>China</t>
        </is>
      </c>
      <c r="E310" t="n">
        <v>905909</v>
      </c>
      <c r="F310" t="n">
        <v>498250</v>
      </c>
      <c r="G310" t="n">
        <v>28.0844</v>
      </c>
      <c r="H310" t="n">
        <v>0.052818</v>
      </c>
      <c r="I310">
        <f>F310*H310</f>
        <v/>
      </c>
      <c r="J310">
        <f>G310*H310</f>
        <v/>
      </c>
    </row>
    <row r="311">
      <c r="A311" t="inlineStr">
        <is>
          <t>base</t>
        </is>
      </c>
      <c r="B311" t="n">
        <v>2026</v>
      </c>
      <c r="C311" t="inlineStr">
        <is>
          <t>pharma_preclinical_nam</t>
        </is>
      </c>
      <c r="D311" t="inlineStr">
        <is>
          <t>Japan</t>
        </is>
      </c>
      <c r="E311" t="n">
        <v>909671</v>
      </c>
      <c r="F311" t="n">
        <v>500319</v>
      </c>
      <c r="G311" t="n">
        <v>13.106</v>
      </c>
      <c r="H311" t="n">
        <v>0.052818</v>
      </c>
      <c r="I311">
        <f>F311*H311</f>
        <v/>
      </c>
      <c r="J311">
        <f>G311*H311</f>
        <v/>
      </c>
    </row>
    <row r="312">
      <c r="A312" t="inlineStr">
        <is>
          <t>base</t>
        </is>
      </c>
      <c r="B312" t="n">
        <v>2026</v>
      </c>
      <c r="C312" t="inlineStr">
        <is>
          <t>pharma_preclinical_nam</t>
        </is>
      </c>
      <c r="D312" t="inlineStr">
        <is>
          <t>Korea</t>
        </is>
      </c>
      <c r="E312" t="n">
        <v>369340</v>
      </c>
      <c r="F312" t="n">
        <v>203137</v>
      </c>
      <c r="G312" t="n">
        <v>5.6169</v>
      </c>
      <c r="H312" t="n">
        <v>0.052818</v>
      </c>
      <c r="I312">
        <f>F312*H312</f>
        <v/>
      </c>
      <c r="J312">
        <f>G312*H312</f>
        <v/>
      </c>
    </row>
    <row r="313">
      <c r="A313" t="inlineStr">
        <is>
          <t>base</t>
        </is>
      </c>
      <c r="B313" t="n">
        <v>2026</v>
      </c>
      <c r="C313" t="inlineStr">
        <is>
          <t>pharma_preclinical_nam</t>
        </is>
      </c>
      <c r="D313" t="inlineStr">
        <is>
          <t>RoW</t>
        </is>
      </c>
      <c r="E313" t="n">
        <v>547171</v>
      </c>
      <c r="F313" t="n">
        <v>300944</v>
      </c>
      <c r="G313" t="n">
        <v>9.361499999999999</v>
      </c>
      <c r="H313" t="n">
        <v>0.052818</v>
      </c>
      <c r="I313">
        <f>F313*H313</f>
        <v/>
      </c>
      <c r="J313">
        <f>G313*H313</f>
        <v/>
      </c>
    </row>
    <row r="314">
      <c r="A314" t="inlineStr">
        <is>
          <t>base</t>
        </is>
      </c>
      <c r="B314" t="n">
        <v>2026</v>
      </c>
      <c r="C314" t="inlineStr">
        <is>
          <t>organoid_cro_biobank</t>
        </is>
      </c>
      <c r="D314" t="inlineStr">
        <is>
          <t>US</t>
        </is>
      </c>
      <c r="E314" t="n">
        <v>3875243</v>
      </c>
      <c r="F314" t="n">
        <v>1937621</v>
      </c>
      <c r="G314" t="n">
        <v>54.648</v>
      </c>
      <c r="H314" t="n">
        <v>0.017182</v>
      </c>
      <c r="I314">
        <f>F314*H314</f>
        <v/>
      </c>
      <c r="J314">
        <f>G314*H314</f>
        <v/>
      </c>
    </row>
    <row r="315">
      <c r="A315" t="inlineStr">
        <is>
          <t>base</t>
        </is>
      </c>
      <c r="B315" t="n">
        <v>2026</v>
      </c>
      <c r="C315" t="inlineStr">
        <is>
          <t>organoid_cro_biobank</t>
        </is>
      </c>
      <c r="D315" t="inlineStr">
        <is>
          <t>EU</t>
        </is>
      </c>
      <c r="E315" t="n">
        <v>1937621</v>
      </c>
      <c r="F315" t="n">
        <v>968811</v>
      </c>
      <c r="G315" t="n">
        <v>27.324</v>
      </c>
      <c r="H315" t="n">
        <v>0.017182</v>
      </c>
      <c r="I315">
        <f>F315*H315</f>
        <v/>
      </c>
      <c r="J315">
        <f>G315*H315</f>
        <v/>
      </c>
    </row>
    <row r="316">
      <c r="A316" t="inlineStr">
        <is>
          <t>base</t>
        </is>
      </c>
      <c r="B316" t="n">
        <v>2026</v>
      </c>
      <c r="C316" t="inlineStr">
        <is>
          <t>organoid_cro_biobank</t>
        </is>
      </c>
      <c r="D316" t="inlineStr">
        <is>
          <t>China</t>
        </is>
      </c>
      <c r="E316" t="n">
        <v>941006</v>
      </c>
      <c r="F316" t="n">
        <v>470503</v>
      </c>
      <c r="G316" t="n">
        <v>30.0564</v>
      </c>
      <c r="H316" t="n">
        <v>0.017182</v>
      </c>
      <c r="I316">
        <f>F316*H316</f>
        <v/>
      </c>
      <c r="J316">
        <f>G316*H316</f>
        <v/>
      </c>
    </row>
    <row r="317">
      <c r="A317" t="inlineStr">
        <is>
          <t>base</t>
        </is>
      </c>
      <c r="B317" t="n">
        <v>2026</v>
      </c>
      <c r="C317" t="inlineStr">
        <is>
          <t>organoid_cro_biobank</t>
        </is>
      </c>
      <c r="D317" t="inlineStr">
        <is>
          <t>Japan</t>
        </is>
      </c>
      <c r="E317" t="n">
        <v>552222</v>
      </c>
      <c r="F317" t="n">
        <v>276111</v>
      </c>
      <c r="G317" t="n">
        <v>8.1972</v>
      </c>
      <c r="H317" t="n">
        <v>0.017182</v>
      </c>
      <c r="I317">
        <f>F317*H317</f>
        <v/>
      </c>
      <c r="J317">
        <f>G317*H317</f>
        <v/>
      </c>
    </row>
    <row r="318">
      <c r="A318" t="inlineStr">
        <is>
          <t>base</t>
        </is>
      </c>
      <c r="B318" t="n">
        <v>2026</v>
      </c>
      <c r="C318" t="inlineStr">
        <is>
          <t>organoid_cro_biobank</t>
        </is>
      </c>
      <c r="D318" t="inlineStr">
        <is>
          <t>Korea</t>
        </is>
      </c>
      <c r="E318" t="n">
        <v>435965</v>
      </c>
      <c r="F318" t="n">
        <v>217982</v>
      </c>
      <c r="G318" t="n">
        <v>6.831</v>
      </c>
      <c r="H318" t="n">
        <v>0.017182</v>
      </c>
      <c r="I318">
        <f>F318*H318</f>
        <v/>
      </c>
      <c r="J318">
        <f>G318*H318</f>
        <v/>
      </c>
    </row>
    <row r="319">
      <c r="A319" t="inlineStr">
        <is>
          <t>base</t>
        </is>
      </c>
      <c r="B319" t="n">
        <v>2026</v>
      </c>
      <c r="C319" t="inlineStr">
        <is>
          <t>organoid_cro_biobank</t>
        </is>
      </c>
      <c r="D319" t="inlineStr">
        <is>
          <t>RoW</t>
        </is>
      </c>
      <c r="E319" t="n">
        <v>542534</v>
      </c>
      <c r="F319" t="n">
        <v>271267</v>
      </c>
      <c r="G319" t="n">
        <v>9.5634</v>
      </c>
      <c r="H319" t="n">
        <v>0.017182</v>
      </c>
      <c r="I319">
        <f>F319*H319</f>
        <v/>
      </c>
      <c r="J319">
        <f>G319*H319</f>
        <v/>
      </c>
    </row>
    <row r="320">
      <c r="A320" t="inlineStr">
        <is>
          <t>base</t>
        </is>
      </c>
      <c r="B320" t="n">
        <v>2026</v>
      </c>
      <c r="C320" t="inlineStr">
        <is>
          <t>clinical_dx_pdo</t>
        </is>
      </c>
      <c r="D320" t="inlineStr">
        <is>
          <t>US</t>
        </is>
      </c>
      <c r="E320" t="n">
        <v>369338</v>
      </c>
      <c r="F320" t="n">
        <v>166202</v>
      </c>
      <c r="G320" t="n">
        <v>3.5156</v>
      </c>
      <c r="H320" t="n">
        <v>0.020364</v>
      </c>
      <c r="I320">
        <f>F320*H320</f>
        <v/>
      </c>
      <c r="J320">
        <f>G320*H320</f>
        <v/>
      </c>
    </row>
    <row r="321">
      <c r="A321" t="inlineStr">
        <is>
          <t>base</t>
        </is>
      </c>
      <c r="B321" t="n">
        <v>2026</v>
      </c>
      <c r="C321" t="inlineStr">
        <is>
          <t>clinical_dx_pdo</t>
        </is>
      </c>
      <c r="D321" t="inlineStr">
        <is>
          <t>EU</t>
        </is>
      </c>
      <c r="E321" t="n">
        <v>221602</v>
      </c>
      <c r="F321" t="n">
        <v>99721</v>
      </c>
      <c r="G321" t="n">
        <v>2.1094</v>
      </c>
      <c r="H321" t="n">
        <v>0.020364</v>
      </c>
      <c r="I321">
        <f>F321*H321</f>
        <v/>
      </c>
      <c r="J321">
        <f>G321*H321</f>
        <v/>
      </c>
    </row>
    <row r="322">
      <c r="A322" t="inlineStr">
        <is>
          <t>base</t>
        </is>
      </c>
      <c r="B322" t="n">
        <v>2026</v>
      </c>
      <c r="C322" t="inlineStr">
        <is>
          <t>clinical_dx_pdo</t>
        </is>
      </c>
      <c r="D322" t="inlineStr">
        <is>
          <t>China</t>
        </is>
      </c>
      <c r="E322" t="n">
        <v>293513</v>
      </c>
      <c r="F322" t="n">
        <v>132081</v>
      </c>
      <c r="G322" t="n">
        <v>6.3281</v>
      </c>
      <c r="H322" t="n">
        <v>0.020364</v>
      </c>
      <c r="I322">
        <f>F322*H322</f>
        <v/>
      </c>
      <c r="J322">
        <f>G322*H322</f>
        <v/>
      </c>
    </row>
    <row r="323">
      <c r="A323" t="inlineStr">
        <is>
          <t>base</t>
        </is>
      </c>
      <c r="B323" t="n">
        <v>2026</v>
      </c>
      <c r="C323" t="inlineStr">
        <is>
          <t>clinical_dx_pdo</t>
        </is>
      </c>
      <c r="D323" t="inlineStr">
        <is>
          <t>Japan</t>
        </is>
      </c>
      <c r="E323" t="n">
        <v>84209</v>
      </c>
      <c r="F323" t="n">
        <v>37894</v>
      </c>
      <c r="G323" t="n">
        <v>0.8438</v>
      </c>
      <c r="H323" t="n">
        <v>0.020364</v>
      </c>
      <c r="I323">
        <f>F323*H323</f>
        <v/>
      </c>
      <c r="J323">
        <f>G323*H323</f>
        <v/>
      </c>
    </row>
    <row r="324">
      <c r="A324" t="inlineStr">
        <is>
          <t>base</t>
        </is>
      </c>
      <c r="B324" t="n">
        <v>2026</v>
      </c>
      <c r="C324" t="inlineStr">
        <is>
          <t>clinical_dx_pdo</t>
        </is>
      </c>
      <c r="D324" t="inlineStr">
        <is>
          <t>Korea</t>
        </is>
      </c>
      <c r="E324" t="n">
        <v>66481</v>
      </c>
      <c r="F324" t="n">
        <v>29916</v>
      </c>
      <c r="G324" t="n">
        <v>0.7030999999999999</v>
      </c>
      <c r="H324" t="n">
        <v>0.020364</v>
      </c>
      <c r="I324">
        <f>F324*H324</f>
        <v/>
      </c>
      <c r="J324">
        <f>G324*H324</f>
        <v/>
      </c>
    </row>
    <row r="325">
      <c r="A325" t="inlineStr">
        <is>
          <t>base</t>
        </is>
      </c>
      <c r="B325" t="n">
        <v>2026</v>
      </c>
      <c r="C325" t="inlineStr">
        <is>
          <t>clinical_dx_pdo</t>
        </is>
      </c>
      <c r="D325" t="inlineStr">
        <is>
          <t>RoW</t>
        </is>
      </c>
      <c r="E325" t="n">
        <v>47275</v>
      </c>
      <c r="F325" t="n">
        <v>21274</v>
      </c>
      <c r="G325" t="n">
        <v>0.5625</v>
      </c>
      <c r="H325" t="n">
        <v>0.020364</v>
      </c>
      <c r="I325">
        <f>F325*H325</f>
        <v/>
      </c>
      <c r="J325">
        <f>G325*H325</f>
        <v/>
      </c>
    </row>
    <row r="326">
      <c r="A326" t="inlineStr">
        <is>
          <t>base</t>
        </is>
      </c>
      <c r="B326" t="n">
        <v>2026</v>
      </c>
      <c r="C326" t="inlineStr">
        <is>
          <t>regenerative_gmp</t>
        </is>
      </c>
      <c r="D326" t="inlineStr">
        <is>
          <t>US</t>
        </is>
      </c>
      <c r="E326" t="n">
        <v>33374</v>
      </c>
      <c r="F326" t="n">
        <v>33374</v>
      </c>
      <c r="G326" t="n">
        <v>0.29</v>
      </c>
      <c r="H326" t="n">
        <v>0.25</v>
      </c>
      <c r="I326">
        <f>F326*H326</f>
        <v/>
      </c>
      <c r="J326">
        <f>G326*H326</f>
        <v/>
      </c>
    </row>
    <row r="327">
      <c r="A327" t="inlineStr">
        <is>
          <t>base</t>
        </is>
      </c>
      <c r="B327" t="n">
        <v>2026</v>
      </c>
      <c r="C327" t="inlineStr">
        <is>
          <t>regenerative_gmp</t>
        </is>
      </c>
      <c r="D327" t="inlineStr">
        <is>
          <t>EU</t>
        </is>
      </c>
      <c r="E327" t="n">
        <v>26699</v>
      </c>
      <c r="F327" t="n">
        <v>26699</v>
      </c>
      <c r="G327" t="n">
        <v>0.232</v>
      </c>
      <c r="H327" t="n">
        <v>0.25</v>
      </c>
      <c r="I327">
        <f>F327*H327</f>
        <v/>
      </c>
      <c r="J327">
        <f>G327*H327</f>
        <v/>
      </c>
    </row>
    <row r="328">
      <c r="A328" t="inlineStr">
        <is>
          <t>base</t>
        </is>
      </c>
      <c r="B328" t="n">
        <v>2026</v>
      </c>
      <c r="C328" t="inlineStr">
        <is>
          <t>regenerative_gmp</t>
        </is>
      </c>
      <c r="D328" t="inlineStr">
        <is>
          <t>China</t>
        </is>
      </c>
      <c r="E328" t="n">
        <v>5894</v>
      </c>
      <c r="F328" t="n">
        <v>5894</v>
      </c>
      <c r="G328" t="n">
        <v>0.116</v>
      </c>
      <c r="H328" t="n">
        <v>0.25</v>
      </c>
      <c r="I328">
        <f>F328*H328</f>
        <v/>
      </c>
      <c r="J328">
        <f>G328*H328</f>
        <v/>
      </c>
    </row>
    <row r="329">
      <c r="A329" t="inlineStr">
        <is>
          <t>base</t>
        </is>
      </c>
      <c r="B329" t="n">
        <v>2026</v>
      </c>
      <c r="C329" t="inlineStr">
        <is>
          <t>regenerative_gmp</t>
        </is>
      </c>
      <c r="D329" t="inlineStr">
        <is>
          <t>Japan</t>
        </is>
      </c>
      <c r="E329" t="n">
        <v>50728</v>
      </c>
      <c r="F329" t="n">
        <v>50728</v>
      </c>
      <c r="G329" t="n">
        <v>0.464</v>
      </c>
      <c r="H329" t="n">
        <v>0.25</v>
      </c>
      <c r="I329">
        <f>F329*H329</f>
        <v/>
      </c>
      <c r="J329">
        <f>G329*H329</f>
        <v/>
      </c>
    </row>
    <row r="330">
      <c r="A330" t="inlineStr">
        <is>
          <t>base</t>
        </is>
      </c>
      <c r="B330" t="n">
        <v>2026</v>
      </c>
      <c r="C330" t="inlineStr">
        <is>
          <t>regenerative_gmp</t>
        </is>
      </c>
      <c r="D330" t="inlineStr">
        <is>
          <t>Korea</t>
        </is>
      </c>
      <c r="E330" t="n">
        <v>6007</v>
      </c>
      <c r="F330" t="n">
        <v>6007</v>
      </c>
      <c r="G330" t="n">
        <v>0.058</v>
      </c>
      <c r="H330" t="n">
        <v>0.25</v>
      </c>
      <c r="I330">
        <f>F330*H330</f>
        <v/>
      </c>
      <c r="J330">
        <f>G330*H330</f>
        <v/>
      </c>
    </row>
    <row r="331">
      <c r="A331" t="inlineStr">
        <is>
          <t>base</t>
        </is>
      </c>
      <c r="B331" t="n">
        <v>2026</v>
      </c>
      <c r="C331" t="inlineStr">
        <is>
          <t>regenerative_gmp</t>
        </is>
      </c>
      <c r="D331" t="inlineStr">
        <is>
          <t>RoW</t>
        </is>
      </c>
      <c r="E331" t="n">
        <v>0</v>
      </c>
      <c r="F331" t="n">
        <v>0</v>
      </c>
      <c r="G331" t="n">
        <v>0</v>
      </c>
      <c r="H331" t="n">
        <v>0.25</v>
      </c>
      <c r="I331">
        <f>F331*H331</f>
        <v/>
      </c>
      <c r="J331">
        <f>G331*H331</f>
        <v/>
      </c>
    </row>
    <row r="332">
      <c r="A332" t="inlineStr">
        <is>
          <t>base</t>
        </is>
      </c>
      <c r="B332" t="n">
        <v>2027</v>
      </c>
      <c r="C332" t="inlineStr">
        <is>
          <t>academic_ruo</t>
        </is>
      </c>
      <c r="D332" t="inlineStr">
        <is>
          <t>US</t>
        </is>
      </c>
      <c r="E332" t="n">
        <v>7596633</v>
      </c>
      <c r="F332" t="n">
        <v>4633946</v>
      </c>
      <c r="G332" t="n">
        <v>100.0211</v>
      </c>
      <c r="H332" t="n">
        <v>0.04801</v>
      </c>
      <c r="I332">
        <f>F332*H332</f>
        <v/>
      </c>
      <c r="J332">
        <f>G332*H332</f>
        <v/>
      </c>
    </row>
    <row r="333">
      <c r="A333" t="inlineStr">
        <is>
          <t>base</t>
        </is>
      </c>
      <c r="B333" t="n">
        <v>2027</v>
      </c>
      <c r="C333" t="inlineStr">
        <is>
          <t>academic_ruo</t>
        </is>
      </c>
      <c r="D333" t="inlineStr">
        <is>
          <t>EU</t>
        </is>
      </c>
      <c r="E333" t="n">
        <v>8376474</v>
      </c>
      <c r="F333" t="n">
        <v>5109649</v>
      </c>
      <c r="G333" t="n">
        <v>110.2889</v>
      </c>
      <c r="H333" t="n">
        <v>0.04801</v>
      </c>
      <c r="I333">
        <f>F333*H333</f>
        <v/>
      </c>
      <c r="J333">
        <f>G333*H333</f>
        <v/>
      </c>
    </row>
    <row r="334">
      <c r="A334" t="inlineStr">
        <is>
          <t>base</t>
        </is>
      </c>
      <c r="B334" t="n">
        <v>2027</v>
      </c>
      <c r="C334" t="inlineStr">
        <is>
          <t>academic_ruo</t>
        </is>
      </c>
      <c r="D334" t="inlineStr">
        <is>
          <t>China</t>
        </is>
      </c>
      <c r="E334" t="n">
        <v>4791305</v>
      </c>
      <c r="F334" t="n">
        <v>2922696</v>
      </c>
      <c r="G334" t="n">
        <v>142.8873</v>
      </c>
      <c r="H334" t="n">
        <v>0.04801</v>
      </c>
      <c r="I334">
        <f>F334*H334</f>
        <v/>
      </c>
      <c r="J334">
        <f>G334*H334</f>
        <v/>
      </c>
    </row>
    <row r="335">
      <c r="A335" t="inlineStr">
        <is>
          <t>base</t>
        </is>
      </c>
      <c r="B335" t="n">
        <v>2027</v>
      </c>
      <c r="C335" t="inlineStr">
        <is>
          <t>academic_ruo</t>
        </is>
      </c>
      <c r="D335" t="inlineStr">
        <is>
          <t>Japan</t>
        </is>
      </c>
      <c r="E335" t="n">
        <v>1663025</v>
      </c>
      <c r="F335" t="n">
        <v>1014445</v>
      </c>
      <c r="G335" t="n">
        <v>23.0486</v>
      </c>
      <c r="H335" t="n">
        <v>0.04801</v>
      </c>
      <c r="I335">
        <f>F335*H335</f>
        <v/>
      </c>
      <c r="J335">
        <f>G335*H335</f>
        <v/>
      </c>
    </row>
    <row r="336">
      <c r="A336" t="inlineStr">
        <is>
          <t>base</t>
        </is>
      </c>
      <c r="B336" t="n">
        <v>2027</v>
      </c>
      <c r="C336" t="inlineStr">
        <is>
          <t>academic_ruo</t>
        </is>
      </c>
      <c r="D336" t="inlineStr">
        <is>
          <t>Korea</t>
        </is>
      </c>
      <c r="E336" t="n">
        <v>1413530</v>
      </c>
      <c r="F336" t="n">
        <v>862253</v>
      </c>
      <c r="G336" t="n">
        <v>20.6792</v>
      </c>
      <c r="H336" t="n">
        <v>0.04801</v>
      </c>
      <c r="I336">
        <f>F336*H336</f>
        <v/>
      </c>
      <c r="J336">
        <f>G336*H336</f>
        <v/>
      </c>
    </row>
    <row r="337">
      <c r="A337" t="inlineStr">
        <is>
          <t>base</t>
        </is>
      </c>
      <c r="B337" t="n">
        <v>2027</v>
      </c>
      <c r="C337" t="inlineStr">
        <is>
          <t>academic_ruo</t>
        </is>
      </c>
      <c r="D337" t="inlineStr">
        <is>
          <t>RoW</t>
        </is>
      </c>
      <c r="E337" t="n">
        <v>5078238</v>
      </c>
      <c r="F337" t="n">
        <v>3097725</v>
      </c>
      <c r="G337" t="n">
        <v>83.5783</v>
      </c>
      <c r="H337" t="n">
        <v>0.04801</v>
      </c>
      <c r="I337">
        <f>F337*H337</f>
        <v/>
      </c>
      <c r="J337">
        <f>G337*H337</f>
        <v/>
      </c>
    </row>
    <row r="338">
      <c r="A338" t="inlineStr">
        <is>
          <t>base</t>
        </is>
      </c>
      <c r="B338" t="n">
        <v>2027</v>
      </c>
      <c r="C338" t="inlineStr">
        <is>
          <t>pharma_preclinical_nam</t>
        </is>
      </c>
      <c r="D338" t="inlineStr">
        <is>
          <t>US</t>
        </is>
      </c>
      <c r="E338" t="n">
        <v>8141040</v>
      </c>
      <c r="F338" t="n">
        <v>4477572</v>
      </c>
      <c r="G338" t="n">
        <v>113.701</v>
      </c>
      <c r="H338" t="n">
        <v>0.069304</v>
      </c>
      <c r="I338">
        <f>F338*H338</f>
        <v/>
      </c>
      <c r="J338">
        <f>G338*H338</f>
        <v/>
      </c>
    </row>
    <row r="339">
      <c r="A339" t="inlineStr">
        <is>
          <t>base</t>
        </is>
      </c>
      <c r="B339" t="n">
        <v>2027</v>
      </c>
      <c r="C339" t="inlineStr">
        <is>
          <t>pharma_preclinical_nam</t>
        </is>
      </c>
      <c r="D339" t="inlineStr">
        <is>
          <t>EU</t>
        </is>
      </c>
      <c r="E339" t="n">
        <v>4522800</v>
      </c>
      <c r="F339" t="n">
        <v>2487540</v>
      </c>
      <c r="G339" t="n">
        <v>63.1672</v>
      </c>
      <c r="H339" t="n">
        <v>0.069304</v>
      </c>
      <c r="I339">
        <f>F339*H339</f>
        <v/>
      </c>
      <c r="J339">
        <f>G339*H339</f>
        <v/>
      </c>
    </row>
    <row r="340">
      <c r="A340" t="inlineStr">
        <is>
          <t>base</t>
        </is>
      </c>
      <c r="B340" t="n">
        <v>2027</v>
      </c>
      <c r="C340" t="inlineStr">
        <is>
          <t>pharma_preclinical_nam</t>
        </is>
      </c>
      <c r="D340" t="inlineStr">
        <is>
          <t>China</t>
        </is>
      </c>
      <c r="E340" t="n">
        <v>1198090</v>
      </c>
      <c r="F340" t="n">
        <v>658949</v>
      </c>
      <c r="G340" t="n">
        <v>37.9003</v>
      </c>
      <c r="H340" t="n">
        <v>0.069304</v>
      </c>
      <c r="I340">
        <f>F340*H340</f>
        <v/>
      </c>
      <c r="J340">
        <f>G340*H340</f>
        <v/>
      </c>
    </row>
    <row r="341">
      <c r="A341" t="inlineStr">
        <is>
          <t>base</t>
        </is>
      </c>
      <c r="B341" t="n">
        <v>2027</v>
      </c>
      <c r="C341" t="inlineStr">
        <is>
          <t>pharma_preclinical_nam</t>
        </is>
      </c>
      <c r="D341" t="inlineStr">
        <is>
          <t>Japan</t>
        </is>
      </c>
      <c r="E341" t="n">
        <v>1203065</v>
      </c>
      <c r="F341" t="n">
        <v>661686</v>
      </c>
      <c r="G341" t="n">
        <v>17.6868</v>
      </c>
      <c r="H341" t="n">
        <v>0.069304</v>
      </c>
      <c r="I341">
        <f>F341*H341</f>
        <v/>
      </c>
      <c r="J341">
        <f>G341*H341</f>
        <v/>
      </c>
    </row>
    <row r="342">
      <c r="A342" t="inlineStr">
        <is>
          <t>base</t>
        </is>
      </c>
      <c r="B342" t="n">
        <v>2027</v>
      </c>
      <c r="C342" t="inlineStr">
        <is>
          <t>pharma_preclinical_nam</t>
        </is>
      </c>
      <c r="D342" t="inlineStr">
        <is>
          <t>Korea</t>
        </is>
      </c>
      <c r="E342" t="n">
        <v>488462</v>
      </c>
      <c r="F342" t="n">
        <v>268654</v>
      </c>
      <c r="G342" t="n">
        <v>7.5801</v>
      </c>
      <c r="H342" t="n">
        <v>0.069304</v>
      </c>
      <c r="I342">
        <f>F342*H342</f>
        <v/>
      </c>
      <c r="J342">
        <f>G342*H342</f>
        <v/>
      </c>
    </row>
    <row r="343">
      <c r="A343" t="inlineStr">
        <is>
          <t>base</t>
        </is>
      </c>
      <c r="B343" t="n">
        <v>2027</v>
      </c>
      <c r="C343" t="inlineStr">
        <is>
          <t>pharma_preclinical_nam</t>
        </is>
      </c>
      <c r="D343" t="inlineStr">
        <is>
          <t>RoW</t>
        </is>
      </c>
      <c r="E343" t="n">
        <v>723648</v>
      </c>
      <c r="F343" t="n">
        <v>398006</v>
      </c>
      <c r="G343" t="n">
        <v>12.6334</v>
      </c>
      <c r="H343" t="n">
        <v>0.069304</v>
      </c>
      <c r="I343">
        <f>F343*H343</f>
        <v/>
      </c>
      <c r="J343">
        <f>G343*H343</f>
        <v/>
      </c>
    </row>
    <row r="344">
      <c r="A344" t="inlineStr">
        <is>
          <t>base</t>
        </is>
      </c>
      <c r="B344" t="n">
        <v>2027</v>
      </c>
      <c r="C344" t="inlineStr">
        <is>
          <t>organoid_cro_biobank</t>
        </is>
      </c>
      <c r="D344" t="inlineStr">
        <is>
          <t>US</t>
        </is>
      </c>
      <c r="E344" t="n">
        <v>4367399</v>
      </c>
      <c r="F344" t="n">
        <v>2183699</v>
      </c>
      <c r="G344" t="n">
        <v>62.8452</v>
      </c>
      <c r="H344" t="n">
        <v>0.019713</v>
      </c>
      <c r="I344">
        <f>F344*H344</f>
        <v/>
      </c>
      <c r="J344">
        <f>G344*H344</f>
        <v/>
      </c>
    </row>
    <row r="345">
      <c r="A345" t="inlineStr">
        <is>
          <t>base</t>
        </is>
      </c>
      <c r="B345" t="n">
        <v>2027</v>
      </c>
      <c r="C345" t="inlineStr">
        <is>
          <t>organoid_cro_biobank</t>
        </is>
      </c>
      <c r="D345" t="inlineStr">
        <is>
          <t>EU</t>
        </is>
      </c>
      <c r="E345" t="n">
        <v>2183699</v>
      </c>
      <c r="F345" t="n">
        <v>1091850</v>
      </c>
      <c r="G345" t="n">
        <v>31.4226</v>
      </c>
      <c r="H345" t="n">
        <v>0.019713</v>
      </c>
      <c r="I345">
        <f>F345*H345</f>
        <v/>
      </c>
      <c r="J345">
        <f>G345*H345</f>
        <v/>
      </c>
    </row>
    <row r="346">
      <c r="A346" t="inlineStr">
        <is>
          <t>base</t>
        </is>
      </c>
      <c r="B346" t="n">
        <v>2027</v>
      </c>
      <c r="C346" t="inlineStr">
        <is>
          <t>organoid_cro_biobank</t>
        </is>
      </c>
      <c r="D346" t="inlineStr">
        <is>
          <t>China</t>
        </is>
      </c>
      <c r="E346" t="n">
        <v>1060514</v>
      </c>
      <c r="F346" t="n">
        <v>530257</v>
      </c>
      <c r="G346" t="n">
        <v>34.5649</v>
      </c>
      <c r="H346" t="n">
        <v>0.019713</v>
      </c>
      <c r="I346">
        <f>F346*H346</f>
        <v/>
      </c>
      <c r="J346">
        <f>G346*H346</f>
        <v/>
      </c>
    </row>
    <row r="347">
      <c r="A347" t="inlineStr">
        <is>
          <t>base</t>
        </is>
      </c>
      <c r="B347" t="n">
        <v>2027</v>
      </c>
      <c r="C347" t="inlineStr">
        <is>
          <t>organoid_cro_biobank</t>
        </is>
      </c>
      <c r="D347" t="inlineStr">
        <is>
          <t>Japan</t>
        </is>
      </c>
      <c r="E347" t="n">
        <v>622354</v>
      </c>
      <c r="F347" t="n">
        <v>311177</v>
      </c>
      <c r="G347" t="n">
        <v>9.4268</v>
      </c>
      <c r="H347" t="n">
        <v>0.019713</v>
      </c>
      <c r="I347">
        <f>F347*H347</f>
        <v/>
      </c>
      <c r="J347">
        <f>G347*H347</f>
        <v/>
      </c>
    </row>
    <row r="348">
      <c r="A348" t="inlineStr">
        <is>
          <t>base</t>
        </is>
      </c>
      <c r="B348" t="n">
        <v>2027</v>
      </c>
      <c r="C348" t="inlineStr">
        <is>
          <t>organoid_cro_biobank</t>
        </is>
      </c>
      <c r="D348" t="inlineStr">
        <is>
          <t>Korea</t>
        </is>
      </c>
      <c r="E348" t="n">
        <v>491332</v>
      </c>
      <c r="F348" t="n">
        <v>245666</v>
      </c>
      <c r="G348" t="n">
        <v>7.8556</v>
      </c>
      <c r="H348" t="n">
        <v>0.019713</v>
      </c>
      <c r="I348">
        <f>F348*H348</f>
        <v/>
      </c>
      <c r="J348">
        <f>G348*H348</f>
        <v/>
      </c>
    </row>
    <row r="349">
      <c r="A349" t="inlineStr">
        <is>
          <t>base</t>
        </is>
      </c>
      <c r="B349" t="n">
        <v>2027</v>
      </c>
      <c r="C349" t="inlineStr">
        <is>
          <t>organoid_cro_biobank</t>
        </is>
      </c>
      <c r="D349" t="inlineStr">
        <is>
          <t>RoW</t>
        </is>
      </c>
      <c r="E349" t="n">
        <v>611436</v>
      </c>
      <c r="F349" t="n">
        <v>305718</v>
      </c>
      <c r="G349" t="n">
        <v>10.9979</v>
      </c>
      <c r="H349" t="n">
        <v>0.019713</v>
      </c>
      <c r="I349">
        <f>F349*H349</f>
        <v/>
      </c>
      <c r="J349">
        <f>G349*H349</f>
        <v/>
      </c>
    </row>
    <row r="350">
      <c r="A350" t="inlineStr">
        <is>
          <t>base</t>
        </is>
      </c>
      <c r="B350" t="n">
        <v>2027</v>
      </c>
      <c r="C350" t="inlineStr">
        <is>
          <t>clinical_dx_pdo</t>
        </is>
      </c>
      <c r="D350" t="inlineStr">
        <is>
          <t>US</t>
        </is>
      </c>
      <c r="E350" t="n">
        <v>452438</v>
      </c>
      <c r="F350" t="n">
        <v>203597</v>
      </c>
      <c r="G350" t="n">
        <v>4.3945</v>
      </c>
      <c r="H350" t="n">
        <v>0.023764</v>
      </c>
      <c r="I350">
        <f>F350*H350</f>
        <v/>
      </c>
      <c r="J350">
        <f>G350*H350</f>
        <v/>
      </c>
    </row>
    <row r="351">
      <c r="A351" t="inlineStr">
        <is>
          <t>base</t>
        </is>
      </c>
      <c r="B351" t="n">
        <v>2027</v>
      </c>
      <c r="C351" t="inlineStr">
        <is>
          <t>clinical_dx_pdo</t>
        </is>
      </c>
      <c r="D351" t="inlineStr">
        <is>
          <t>EU</t>
        </is>
      </c>
      <c r="E351" t="n">
        <v>271463</v>
      </c>
      <c r="F351" t="n">
        <v>122158</v>
      </c>
      <c r="G351" t="n">
        <v>2.6367</v>
      </c>
      <c r="H351" t="n">
        <v>0.023764</v>
      </c>
      <c r="I351">
        <f>F351*H351</f>
        <v/>
      </c>
      <c r="J351">
        <f>G351*H351</f>
        <v/>
      </c>
    </row>
    <row r="352">
      <c r="A352" t="inlineStr">
        <is>
          <t>base</t>
        </is>
      </c>
      <c r="B352" t="n">
        <v>2027</v>
      </c>
      <c r="C352" t="inlineStr">
        <is>
          <t>clinical_dx_pdo</t>
        </is>
      </c>
      <c r="D352" t="inlineStr">
        <is>
          <t>China</t>
        </is>
      </c>
      <c r="E352" t="n">
        <v>359553</v>
      </c>
      <c r="F352" t="n">
        <v>161799</v>
      </c>
      <c r="G352" t="n">
        <v>7.9102</v>
      </c>
      <c r="H352" t="n">
        <v>0.023764</v>
      </c>
      <c r="I352">
        <f>F352*H352</f>
        <v/>
      </c>
      <c r="J352">
        <f>G352*H352</f>
        <v/>
      </c>
    </row>
    <row r="353">
      <c r="A353" t="inlineStr">
        <is>
          <t>base</t>
        </is>
      </c>
      <c r="B353" t="n">
        <v>2027</v>
      </c>
      <c r="C353" t="inlineStr">
        <is>
          <t>clinical_dx_pdo</t>
        </is>
      </c>
      <c r="D353" t="inlineStr">
        <is>
          <t>Japan</t>
        </is>
      </c>
      <c r="E353" t="n">
        <v>103156</v>
      </c>
      <c r="F353" t="n">
        <v>46420</v>
      </c>
      <c r="G353" t="n">
        <v>1.0547</v>
      </c>
      <c r="H353" t="n">
        <v>0.023764</v>
      </c>
      <c r="I353">
        <f>F353*H353</f>
        <v/>
      </c>
      <c r="J353">
        <f>G353*H353</f>
        <v/>
      </c>
    </row>
    <row r="354">
      <c r="A354" t="inlineStr">
        <is>
          <t>base</t>
        </is>
      </c>
      <c r="B354" t="n">
        <v>2027</v>
      </c>
      <c r="C354" t="inlineStr">
        <is>
          <t>clinical_dx_pdo</t>
        </is>
      </c>
      <c r="D354" t="inlineStr">
        <is>
          <t>Korea</t>
        </is>
      </c>
      <c r="E354" t="n">
        <v>81439</v>
      </c>
      <c r="F354" t="n">
        <v>36648</v>
      </c>
      <c r="G354" t="n">
        <v>0.8789</v>
      </c>
      <c r="H354" t="n">
        <v>0.023764</v>
      </c>
      <c r="I354">
        <f>F354*H354</f>
        <v/>
      </c>
      <c r="J354">
        <f>G354*H354</f>
        <v/>
      </c>
    </row>
    <row r="355">
      <c r="A355" t="inlineStr">
        <is>
          <t>base</t>
        </is>
      </c>
      <c r="B355" t="n">
        <v>2027</v>
      </c>
      <c r="C355" t="inlineStr">
        <is>
          <t>clinical_dx_pdo</t>
        </is>
      </c>
      <c r="D355" t="inlineStr">
        <is>
          <t>RoW</t>
        </is>
      </c>
      <c r="E355" t="n">
        <v>57912</v>
      </c>
      <c r="F355" t="n">
        <v>26060</v>
      </c>
      <c r="G355" t="n">
        <v>0.7030999999999999</v>
      </c>
      <c r="H355" t="n">
        <v>0.023764</v>
      </c>
      <c r="I355">
        <f>F355*H355</f>
        <v/>
      </c>
      <c r="J355">
        <f>G355*H355</f>
        <v/>
      </c>
    </row>
    <row r="356">
      <c r="A356" t="inlineStr">
        <is>
          <t>base</t>
        </is>
      </c>
      <c r="B356" t="n">
        <v>2027</v>
      </c>
      <c r="C356" t="inlineStr">
        <is>
          <t>regenerative_gmp</t>
        </is>
      </c>
      <c r="D356" t="inlineStr">
        <is>
          <t>US</t>
        </is>
      </c>
      <c r="E356" t="n">
        <v>47424</v>
      </c>
      <c r="F356" t="n">
        <v>47424</v>
      </c>
      <c r="G356" t="n">
        <v>0.4205</v>
      </c>
      <c r="H356" t="n">
        <v>0.344648</v>
      </c>
      <c r="I356">
        <f>F356*H356</f>
        <v/>
      </c>
      <c r="J356">
        <f>G356*H356</f>
        <v/>
      </c>
    </row>
    <row r="357">
      <c r="A357" t="inlineStr">
        <is>
          <t>base</t>
        </is>
      </c>
      <c r="B357" t="n">
        <v>2027</v>
      </c>
      <c r="C357" t="inlineStr">
        <is>
          <t>regenerative_gmp</t>
        </is>
      </c>
      <c r="D357" t="inlineStr">
        <is>
          <t>EU</t>
        </is>
      </c>
      <c r="E357" t="n">
        <v>37939</v>
      </c>
      <c r="F357" t="n">
        <v>37939</v>
      </c>
      <c r="G357" t="n">
        <v>0.3364</v>
      </c>
      <c r="H357" t="n">
        <v>0.344648</v>
      </c>
      <c r="I357">
        <f>F357*H357</f>
        <v/>
      </c>
      <c r="J357">
        <f>G357*H357</f>
        <v/>
      </c>
    </row>
    <row r="358">
      <c r="A358" t="inlineStr">
        <is>
          <t>base</t>
        </is>
      </c>
      <c r="B358" t="n">
        <v>2027</v>
      </c>
      <c r="C358" t="inlineStr">
        <is>
          <t>regenerative_gmp</t>
        </is>
      </c>
      <c r="D358" t="inlineStr">
        <is>
          <t>China</t>
        </is>
      </c>
      <c r="E358" t="n">
        <v>8375</v>
      </c>
      <c r="F358" t="n">
        <v>8375</v>
      </c>
      <c r="G358" t="n">
        <v>0.1682</v>
      </c>
      <c r="H358" t="n">
        <v>0.344648</v>
      </c>
      <c r="I358">
        <f>F358*H358</f>
        <v/>
      </c>
      <c r="J358">
        <f>G358*H358</f>
        <v/>
      </c>
    </row>
    <row r="359">
      <c r="A359" t="inlineStr">
        <is>
          <t>base</t>
        </is>
      </c>
      <c r="B359" t="n">
        <v>2027</v>
      </c>
      <c r="C359" t="inlineStr">
        <is>
          <t>regenerative_gmp</t>
        </is>
      </c>
      <c r="D359" t="inlineStr">
        <is>
          <t>Japan</t>
        </is>
      </c>
      <c r="E359" t="n">
        <v>72084</v>
      </c>
      <c r="F359" t="n">
        <v>72084</v>
      </c>
      <c r="G359" t="n">
        <v>0.6728</v>
      </c>
      <c r="H359" t="n">
        <v>0.344648</v>
      </c>
      <c r="I359">
        <f>F359*H359</f>
        <v/>
      </c>
      <c r="J359">
        <f>G359*H359</f>
        <v/>
      </c>
    </row>
    <row r="360">
      <c r="A360" t="inlineStr">
        <is>
          <t>base</t>
        </is>
      </c>
      <c r="B360" t="n">
        <v>2027</v>
      </c>
      <c r="C360" t="inlineStr">
        <is>
          <t>regenerative_gmp</t>
        </is>
      </c>
      <c r="D360" t="inlineStr">
        <is>
          <t>Korea</t>
        </is>
      </c>
      <c r="E360" t="n">
        <v>8536</v>
      </c>
      <c r="F360" t="n">
        <v>8536</v>
      </c>
      <c r="G360" t="n">
        <v>0.08409999999999999</v>
      </c>
      <c r="H360" t="n">
        <v>0.344648</v>
      </c>
      <c r="I360">
        <f>F360*H360</f>
        <v/>
      </c>
      <c r="J360">
        <f>G360*H360</f>
        <v/>
      </c>
    </row>
    <row r="361">
      <c r="A361" t="inlineStr">
        <is>
          <t>base</t>
        </is>
      </c>
      <c r="B361" t="n">
        <v>2027</v>
      </c>
      <c r="C361" t="inlineStr">
        <is>
          <t>regenerative_gmp</t>
        </is>
      </c>
      <c r="D361" t="inlineStr">
        <is>
          <t>RoW</t>
        </is>
      </c>
      <c r="E361" t="n">
        <v>0</v>
      </c>
      <c r="F361" t="n">
        <v>0</v>
      </c>
      <c r="G361" t="n">
        <v>0</v>
      </c>
      <c r="H361" t="n">
        <v>0.344648</v>
      </c>
      <c r="I361">
        <f>F361*H361</f>
        <v/>
      </c>
      <c r="J361">
        <f>G361*H361</f>
        <v/>
      </c>
    </row>
    <row r="362">
      <c r="A362" t="inlineStr">
        <is>
          <t>base</t>
        </is>
      </c>
      <c r="B362" t="n">
        <v>2028</v>
      </c>
      <c r="C362" t="inlineStr">
        <is>
          <t>academic_ruo</t>
        </is>
      </c>
      <c r="D362" t="inlineStr">
        <is>
          <t>US</t>
        </is>
      </c>
      <c r="E362" t="n">
        <v>8114724</v>
      </c>
      <c r="F362" t="n">
        <v>4949981</v>
      </c>
      <c r="G362" t="n">
        <v>109.023</v>
      </c>
      <c r="H362" t="n">
        <v>0.060114</v>
      </c>
      <c r="I362">
        <f>F362*H362</f>
        <v/>
      </c>
      <c r="J362">
        <f>G362*H362</f>
        <v/>
      </c>
    </row>
    <row r="363">
      <c r="A363" t="inlineStr">
        <is>
          <t>base</t>
        </is>
      </c>
      <c r="B363" t="n">
        <v>2028</v>
      </c>
      <c r="C363" t="inlineStr">
        <is>
          <t>academic_ruo</t>
        </is>
      </c>
      <c r="D363" t="inlineStr">
        <is>
          <t>EU</t>
        </is>
      </c>
      <c r="E363" t="n">
        <v>8947750</v>
      </c>
      <c r="F363" t="n">
        <v>5458127</v>
      </c>
      <c r="G363" t="n">
        <v>120.2149</v>
      </c>
      <c r="H363" t="n">
        <v>0.060114</v>
      </c>
      <c r="I363">
        <f>F363*H363</f>
        <v/>
      </c>
      <c r="J363">
        <f>G363*H363</f>
        <v/>
      </c>
    </row>
    <row r="364">
      <c r="A364" t="inlineStr">
        <is>
          <t>base</t>
        </is>
      </c>
      <c r="B364" t="n">
        <v>2028</v>
      </c>
      <c r="C364" t="inlineStr">
        <is>
          <t>academic_ruo</t>
        </is>
      </c>
      <c r="D364" t="inlineStr">
        <is>
          <t>China</t>
        </is>
      </c>
      <c r="E364" t="n">
        <v>5118072</v>
      </c>
      <c r="F364" t="n">
        <v>3122024</v>
      </c>
      <c r="G364" t="n">
        <v>155.7471</v>
      </c>
      <c r="H364" t="n">
        <v>0.060114</v>
      </c>
      <c r="I364">
        <f>F364*H364</f>
        <v/>
      </c>
      <c r="J364">
        <f>G364*H364</f>
        <v/>
      </c>
    </row>
    <row r="365">
      <c r="A365" t="inlineStr">
        <is>
          <t>base</t>
        </is>
      </c>
      <c r="B365" t="n">
        <v>2028</v>
      </c>
      <c r="C365" t="inlineStr">
        <is>
          <t>academic_ruo</t>
        </is>
      </c>
      <c r="D365" t="inlineStr">
        <is>
          <t>Japan</t>
        </is>
      </c>
      <c r="E365" t="n">
        <v>1776443</v>
      </c>
      <c r="F365" t="n">
        <v>1083630</v>
      </c>
      <c r="G365" t="n">
        <v>25.123</v>
      </c>
      <c r="H365" t="n">
        <v>0.060114</v>
      </c>
      <c r="I365">
        <f>F365*H365</f>
        <v/>
      </c>
      <c r="J365">
        <f>G365*H365</f>
        <v/>
      </c>
    </row>
    <row r="366">
      <c r="A366" t="inlineStr">
        <is>
          <t>base</t>
        </is>
      </c>
      <c r="B366" t="n">
        <v>2028</v>
      </c>
      <c r="C366" t="inlineStr">
        <is>
          <t>academic_ruo</t>
        </is>
      </c>
      <c r="D366" t="inlineStr">
        <is>
          <t>Korea</t>
        </is>
      </c>
      <c r="E366" t="n">
        <v>1509933</v>
      </c>
      <c r="F366" t="n">
        <v>921059</v>
      </c>
      <c r="G366" t="n">
        <v>22.5403</v>
      </c>
      <c r="H366" t="n">
        <v>0.060114</v>
      </c>
      <c r="I366">
        <f>F366*H366</f>
        <v/>
      </c>
      <c r="J366">
        <f>G366*H366</f>
        <v/>
      </c>
    </row>
    <row r="367">
      <c r="A367" t="inlineStr">
        <is>
          <t>base</t>
        </is>
      </c>
      <c r="B367" t="n">
        <v>2028</v>
      </c>
      <c r="C367" t="inlineStr">
        <is>
          <t>academic_ruo</t>
        </is>
      </c>
      <c r="D367" t="inlineStr">
        <is>
          <t>RoW</t>
        </is>
      </c>
      <c r="E367" t="n">
        <v>5424573</v>
      </c>
      <c r="F367" t="n">
        <v>3308990</v>
      </c>
      <c r="G367" t="n">
        <v>91.1003</v>
      </c>
      <c r="H367" t="n">
        <v>0.060114</v>
      </c>
      <c r="I367">
        <f>F367*H367</f>
        <v/>
      </c>
      <c r="J367">
        <f>G367*H367</f>
        <v/>
      </c>
    </row>
    <row r="368">
      <c r="A368" t="inlineStr">
        <is>
          <t>base</t>
        </is>
      </c>
      <c r="B368" t="n">
        <v>2028</v>
      </c>
      <c r="C368" t="inlineStr">
        <is>
          <t>pharma_preclinical_nam</t>
        </is>
      </c>
      <c r="D368" t="inlineStr">
        <is>
          <t>US</t>
        </is>
      </c>
      <c r="E368" t="n">
        <v>10766747</v>
      </c>
      <c r="F368" t="n">
        <v>5921711</v>
      </c>
      <c r="G368" t="n">
        <v>153.4415</v>
      </c>
      <c r="H368" t="n">
        <v>0.09014</v>
      </c>
      <c r="I368">
        <f>F368*H368</f>
        <v/>
      </c>
      <c r="J368">
        <f>G368*H368</f>
        <v/>
      </c>
    </row>
    <row r="369">
      <c r="A369" t="inlineStr">
        <is>
          <t>base</t>
        </is>
      </c>
      <c r="B369" t="n">
        <v>2028</v>
      </c>
      <c r="C369" t="inlineStr">
        <is>
          <t>pharma_preclinical_nam</t>
        </is>
      </c>
      <c r="D369" t="inlineStr">
        <is>
          <t>EU</t>
        </is>
      </c>
      <c r="E369" t="n">
        <v>5981526</v>
      </c>
      <c r="F369" t="n">
        <v>3289839</v>
      </c>
      <c r="G369" t="n">
        <v>85.2453</v>
      </c>
      <c r="H369" t="n">
        <v>0.09014</v>
      </c>
      <c r="I369">
        <f>F369*H369</f>
        <v/>
      </c>
      <c r="J369">
        <f>G369*H369</f>
        <v/>
      </c>
    </row>
    <row r="370">
      <c r="A370" t="inlineStr">
        <is>
          <t>base</t>
        </is>
      </c>
      <c r="B370" t="n">
        <v>2028</v>
      </c>
      <c r="C370" t="inlineStr">
        <is>
          <t>pharma_preclinical_nam</t>
        </is>
      </c>
      <c r="D370" t="inlineStr">
        <is>
          <t>China</t>
        </is>
      </c>
      <c r="E370" t="n">
        <v>1584506</v>
      </c>
      <c r="F370" t="n">
        <v>871478</v>
      </c>
      <c r="G370" t="n">
        <v>51.1472</v>
      </c>
      <c r="H370" t="n">
        <v>0.09014</v>
      </c>
      <c r="I370">
        <f>F370*H370</f>
        <v/>
      </c>
      <c r="J370">
        <f>G370*H370</f>
        <v/>
      </c>
    </row>
    <row r="371">
      <c r="A371" t="inlineStr">
        <is>
          <t>base</t>
        </is>
      </c>
      <c r="B371" t="n">
        <v>2028</v>
      </c>
      <c r="C371" t="inlineStr">
        <is>
          <t>pharma_preclinical_nam</t>
        </is>
      </c>
      <c r="D371" t="inlineStr">
        <is>
          <t>Japan</t>
        </is>
      </c>
      <c r="E371" t="n">
        <v>1591086</v>
      </c>
      <c r="F371" t="n">
        <v>875097</v>
      </c>
      <c r="G371" t="n">
        <v>23.8687</v>
      </c>
      <c r="H371" t="n">
        <v>0.09014</v>
      </c>
      <c r="I371">
        <f>F371*H371</f>
        <v/>
      </c>
      <c r="J371">
        <f>G371*H371</f>
        <v/>
      </c>
    </row>
    <row r="372">
      <c r="A372" t="inlineStr">
        <is>
          <t>base</t>
        </is>
      </c>
      <c r="B372" t="n">
        <v>2028</v>
      </c>
      <c r="C372" t="inlineStr">
        <is>
          <t>pharma_preclinical_nam</t>
        </is>
      </c>
      <c r="D372" t="inlineStr">
        <is>
          <t>Korea</t>
        </is>
      </c>
      <c r="E372" t="n">
        <v>646005</v>
      </c>
      <c r="F372" t="n">
        <v>355303</v>
      </c>
      <c r="G372" t="n">
        <v>10.2294</v>
      </c>
      <c r="H372" t="n">
        <v>0.09014</v>
      </c>
      <c r="I372">
        <f>F372*H372</f>
        <v/>
      </c>
      <c r="J372">
        <f>G372*H372</f>
        <v/>
      </c>
    </row>
    <row r="373">
      <c r="A373" t="inlineStr">
        <is>
          <t>base</t>
        </is>
      </c>
      <c r="B373" t="n">
        <v>2028</v>
      </c>
      <c r="C373" t="inlineStr">
        <is>
          <t>pharma_preclinical_nam</t>
        </is>
      </c>
      <c r="D373" t="inlineStr">
        <is>
          <t>RoW</t>
        </is>
      </c>
      <c r="E373" t="n">
        <v>957044</v>
      </c>
      <c r="F373" t="n">
        <v>526374</v>
      </c>
      <c r="G373" t="n">
        <v>17.0491</v>
      </c>
      <c r="H373" t="n">
        <v>0.09014</v>
      </c>
      <c r="I373">
        <f>F373*H373</f>
        <v/>
      </c>
      <c r="J373">
        <f>G373*H373</f>
        <v/>
      </c>
    </row>
    <row r="374">
      <c r="A374" t="inlineStr">
        <is>
          <t>base</t>
        </is>
      </c>
      <c r="B374" t="n">
        <v>2028</v>
      </c>
      <c r="C374" t="inlineStr">
        <is>
          <t>organoid_cro_biobank</t>
        </is>
      </c>
      <c r="D374" t="inlineStr">
        <is>
          <t>US</t>
        </is>
      </c>
      <c r="E374" t="n">
        <v>4922058</v>
      </c>
      <c r="F374" t="n">
        <v>2461029</v>
      </c>
      <c r="G374" t="n">
        <v>72.27200000000001</v>
      </c>
      <c r="H374" t="n">
        <v>0.022605</v>
      </c>
      <c r="I374">
        <f>F374*H374</f>
        <v/>
      </c>
      <c r="J374">
        <f>G374*H374</f>
        <v/>
      </c>
    </row>
    <row r="375">
      <c r="A375" t="inlineStr">
        <is>
          <t>base</t>
        </is>
      </c>
      <c r="B375" t="n">
        <v>2028</v>
      </c>
      <c r="C375" t="inlineStr">
        <is>
          <t>organoid_cro_biobank</t>
        </is>
      </c>
      <c r="D375" t="inlineStr">
        <is>
          <t>EU</t>
        </is>
      </c>
      <c r="E375" t="n">
        <v>2461029</v>
      </c>
      <c r="F375" t="n">
        <v>1230515</v>
      </c>
      <c r="G375" t="n">
        <v>36.136</v>
      </c>
      <c r="H375" t="n">
        <v>0.022605</v>
      </c>
      <c r="I375">
        <f>F375*H375</f>
        <v/>
      </c>
      <c r="J375">
        <f>G375*H375</f>
        <v/>
      </c>
    </row>
    <row r="376">
      <c r="A376" t="inlineStr">
        <is>
          <t>base</t>
        </is>
      </c>
      <c r="B376" t="n">
        <v>2028</v>
      </c>
      <c r="C376" t="inlineStr">
        <is>
          <t>organoid_cro_biobank</t>
        </is>
      </c>
      <c r="D376" t="inlineStr">
        <is>
          <t>China</t>
        </is>
      </c>
      <c r="E376" t="n">
        <v>1195199</v>
      </c>
      <c r="F376" t="n">
        <v>597599</v>
      </c>
      <c r="G376" t="n">
        <v>39.7496</v>
      </c>
      <c r="H376" t="n">
        <v>0.022605</v>
      </c>
      <c r="I376">
        <f>F376*H376</f>
        <v/>
      </c>
      <c r="J376">
        <f>G376*H376</f>
        <v/>
      </c>
    </row>
    <row r="377">
      <c r="A377" t="inlineStr">
        <is>
          <t>base</t>
        </is>
      </c>
      <c r="B377" t="n">
        <v>2028</v>
      </c>
      <c r="C377" t="inlineStr">
        <is>
          <t>organoid_cro_biobank</t>
        </is>
      </c>
      <c r="D377" t="inlineStr">
        <is>
          <t>Japan</t>
        </is>
      </c>
      <c r="E377" t="n">
        <v>701393</v>
      </c>
      <c r="F377" t="n">
        <v>350697</v>
      </c>
      <c r="G377" t="n">
        <v>10.8408</v>
      </c>
      <c r="H377" t="n">
        <v>0.022605</v>
      </c>
      <c r="I377">
        <f>F377*H377</f>
        <v/>
      </c>
      <c r="J377">
        <f>G377*H377</f>
        <v/>
      </c>
    </row>
    <row r="378">
      <c r="A378" t="inlineStr">
        <is>
          <t>base</t>
        </is>
      </c>
      <c r="B378" t="n">
        <v>2028</v>
      </c>
      <c r="C378" t="inlineStr">
        <is>
          <t>organoid_cro_biobank</t>
        </is>
      </c>
      <c r="D378" t="inlineStr">
        <is>
          <t>Korea</t>
        </is>
      </c>
      <c r="E378" t="n">
        <v>553732</v>
      </c>
      <c r="F378" t="n">
        <v>276866</v>
      </c>
      <c r="G378" t="n">
        <v>9.034000000000001</v>
      </c>
      <c r="H378" t="n">
        <v>0.022605</v>
      </c>
      <c r="I378">
        <f>F378*H378</f>
        <v/>
      </c>
      <c r="J378">
        <f>G378*H378</f>
        <v/>
      </c>
    </row>
    <row r="379">
      <c r="A379" t="inlineStr">
        <is>
          <t>base</t>
        </is>
      </c>
      <c r="B379" t="n">
        <v>2028</v>
      </c>
      <c r="C379" t="inlineStr">
        <is>
          <t>organoid_cro_biobank</t>
        </is>
      </c>
      <c r="D379" t="inlineStr">
        <is>
          <t>RoW</t>
        </is>
      </c>
      <c r="E379" t="n">
        <v>689088</v>
      </c>
      <c r="F379" t="n">
        <v>344544</v>
      </c>
      <c r="G379" t="n">
        <v>12.6476</v>
      </c>
      <c r="H379" t="n">
        <v>0.022605</v>
      </c>
      <c r="I379">
        <f>F379*H379</f>
        <v/>
      </c>
      <c r="J379">
        <f>G379*H379</f>
        <v/>
      </c>
    </row>
    <row r="380">
      <c r="A380" t="inlineStr">
        <is>
          <t>base</t>
        </is>
      </c>
      <c r="B380" t="n">
        <v>2028</v>
      </c>
      <c r="C380" t="inlineStr">
        <is>
          <t>clinical_dx_pdo</t>
        </is>
      </c>
      <c r="D380" t="inlineStr">
        <is>
          <t>US</t>
        </is>
      </c>
      <c r="E380" t="n">
        <v>554237</v>
      </c>
      <c r="F380" t="n">
        <v>249407</v>
      </c>
      <c r="G380" t="n">
        <v>5.4932</v>
      </c>
      <c r="H380" t="n">
        <v>0.027708</v>
      </c>
      <c r="I380">
        <f>F380*H380</f>
        <v/>
      </c>
      <c r="J380">
        <f>G380*H380</f>
        <v/>
      </c>
    </row>
    <row r="381">
      <c r="A381" t="inlineStr">
        <is>
          <t>base</t>
        </is>
      </c>
      <c r="B381" t="n">
        <v>2028</v>
      </c>
      <c r="C381" t="inlineStr">
        <is>
          <t>clinical_dx_pdo</t>
        </is>
      </c>
      <c r="D381" t="inlineStr">
        <is>
          <t>EU</t>
        </is>
      </c>
      <c r="E381" t="n">
        <v>332542</v>
      </c>
      <c r="F381" t="n">
        <v>149644</v>
      </c>
      <c r="G381" t="n">
        <v>3.2959</v>
      </c>
      <c r="H381" t="n">
        <v>0.027708</v>
      </c>
      <c r="I381">
        <f>F381*H381</f>
        <v/>
      </c>
      <c r="J381">
        <f>G381*H381</f>
        <v/>
      </c>
    </row>
    <row r="382">
      <c r="A382" t="inlineStr">
        <is>
          <t>base</t>
        </is>
      </c>
      <c r="B382" t="n">
        <v>2028</v>
      </c>
      <c r="C382" t="inlineStr">
        <is>
          <t>clinical_dx_pdo</t>
        </is>
      </c>
      <c r="D382" t="inlineStr">
        <is>
          <t>China</t>
        </is>
      </c>
      <c r="E382" t="n">
        <v>440452</v>
      </c>
      <c r="F382" t="n">
        <v>198203</v>
      </c>
      <c r="G382" t="n">
        <v>9.887700000000001</v>
      </c>
      <c r="H382" t="n">
        <v>0.027708</v>
      </c>
      <c r="I382">
        <f>F382*H382</f>
        <v/>
      </c>
      <c r="J382">
        <f>G382*H382</f>
        <v/>
      </c>
    </row>
    <row r="383">
      <c r="A383" t="inlineStr">
        <is>
          <t>base</t>
        </is>
      </c>
      <c r="B383" t="n">
        <v>2028</v>
      </c>
      <c r="C383" t="inlineStr">
        <is>
          <t>clinical_dx_pdo</t>
        </is>
      </c>
      <c r="D383" t="inlineStr">
        <is>
          <t>Japan</t>
        </is>
      </c>
      <c r="E383" t="n">
        <v>126366</v>
      </c>
      <c r="F383" t="n">
        <v>56865</v>
      </c>
      <c r="G383" t="n">
        <v>1.3184</v>
      </c>
      <c r="H383" t="n">
        <v>0.027708</v>
      </c>
      <c r="I383">
        <f>F383*H383</f>
        <v/>
      </c>
      <c r="J383">
        <f>G383*H383</f>
        <v/>
      </c>
    </row>
    <row r="384">
      <c r="A384" t="inlineStr">
        <is>
          <t>base</t>
        </is>
      </c>
      <c r="B384" t="n">
        <v>2028</v>
      </c>
      <c r="C384" t="inlineStr">
        <is>
          <t>clinical_dx_pdo</t>
        </is>
      </c>
      <c r="D384" t="inlineStr">
        <is>
          <t>Korea</t>
        </is>
      </c>
      <c r="E384" t="n">
        <v>99763</v>
      </c>
      <c r="F384" t="n">
        <v>44893</v>
      </c>
      <c r="G384" t="n">
        <v>1.0986</v>
      </c>
      <c r="H384" t="n">
        <v>0.027708</v>
      </c>
      <c r="I384">
        <f>F384*H384</f>
        <v/>
      </c>
      <c r="J384">
        <f>G384*H384</f>
        <v/>
      </c>
    </row>
    <row r="385">
      <c r="A385" t="inlineStr">
        <is>
          <t>base</t>
        </is>
      </c>
      <c r="B385" t="n">
        <v>2028</v>
      </c>
      <c r="C385" t="inlineStr">
        <is>
          <t>clinical_dx_pdo</t>
        </is>
      </c>
      <c r="D385" t="inlineStr">
        <is>
          <t>RoW</t>
        </is>
      </c>
      <c r="E385" t="n">
        <v>70942</v>
      </c>
      <c r="F385" t="n">
        <v>31924</v>
      </c>
      <c r="G385" t="n">
        <v>0.8789</v>
      </c>
      <c r="H385" t="n">
        <v>0.027708</v>
      </c>
      <c r="I385">
        <f>F385*H385</f>
        <v/>
      </c>
      <c r="J385">
        <f>G385*H385</f>
        <v/>
      </c>
    </row>
    <row r="386">
      <c r="A386" t="inlineStr">
        <is>
          <t>base</t>
        </is>
      </c>
      <c r="B386" t="n">
        <v>2028</v>
      </c>
      <c r="C386" t="inlineStr">
        <is>
          <t>regenerative_gmp</t>
        </is>
      </c>
      <c r="D386" t="inlineStr">
        <is>
          <t>US</t>
        </is>
      </c>
      <c r="E386" t="n">
        <v>67389</v>
      </c>
      <c r="F386" t="n">
        <v>67389</v>
      </c>
      <c r="G386" t="n">
        <v>0.6097</v>
      </c>
      <c r="H386" t="n">
        <v>0.453465</v>
      </c>
      <c r="I386">
        <f>F386*H386</f>
        <v/>
      </c>
      <c r="J386">
        <f>G386*H386</f>
        <v/>
      </c>
    </row>
    <row r="387">
      <c r="A387" t="inlineStr">
        <is>
          <t>base</t>
        </is>
      </c>
      <c r="B387" t="n">
        <v>2028</v>
      </c>
      <c r="C387" t="inlineStr">
        <is>
          <t>regenerative_gmp</t>
        </is>
      </c>
      <c r="D387" t="inlineStr">
        <is>
          <t>EU</t>
        </is>
      </c>
      <c r="E387" t="n">
        <v>53911</v>
      </c>
      <c r="F387" t="n">
        <v>53911</v>
      </c>
      <c r="G387" t="n">
        <v>0.4878</v>
      </c>
      <c r="H387" t="n">
        <v>0.453465</v>
      </c>
      <c r="I387">
        <f>F387*H387</f>
        <v/>
      </c>
      <c r="J387">
        <f>G387*H387</f>
        <v/>
      </c>
    </row>
    <row r="388">
      <c r="A388" t="inlineStr">
        <is>
          <t>base</t>
        </is>
      </c>
      <c r="B388" t="n">
        <v>2028</v>
      </c>
      <c r="C388" t="inlineStr">
        <is>
          <t>regenerative_gmp</t>
        </is>
      </c>
      <c r="D388" t="inlineStr">
        <is>
          <t>China</t>
        </is>
      </c>
      <c r="E388" t="n">
        <v>11901</v>
      </c>
      <c r="F388" t="n">
        <v>11901</v>
      </c>
      <c r="G388" t="n">
        <v>0.2439</v>
      </c>
      <c r="H388" t="n">
        <v>0.453465</v>
      </c>
      <c r="I388">
        <f>F388*H388</f>
        <v/>
      </c>
      <c r="J388">
        <f>G388*H388</f>
        <v/>
      </c>
    </row>
    <row r="389">
      <c r="A389" t="inlineStr">
        <is>
          <t>base</t>
        </is>
      </c>
      <c r="B389" t="n">
        <v>2028</v>
      </c>
      <c r="C389" t="inlineStr">
        <is>
          <t>regenerative_gmp</t>
        </is>
      </c>
      <c r="D389" t="inlineStr">
        <is>
          <t>Japan</t>
        </is>
      </c>
      <c r="E389" t="n">
        <v>102432</v>
      </c>
      <c r="F389" t="n">
        <v>102432</v>
      </c>
      <c r="G389" t="n">
        <v>0.9756</v>
      </c>
      <c r="H389" t="n">
        <v>0.453465</v>
      </c>
      <c r="I389">
        <f>F389*H389</f>
        <v/>
      </c>
      <c r="J389">
        <f>G389*H389</f>
        <v/>
      </c>
    </row>
    <row r="390">
      <c r="A390" t="inlineStr">
        <is>
          <t>base</t>
        </is>
      </c>
      <c r="B390" t="n">
        <v>2028</v>
      </c>
      <c r="C390" t="inlineStr">
        <is>
          <t>regenerative_gmp</t>
        </is>
      </c>
      <c r="D390" t="inlineStr">
        <is>
          <t>Korea</t>
        </is>
      </c>
      <c r="E390" t="n">
        <v>12130</v>
      </c>
      <c r="F390" t="n">
        <v>12130</v>
      </c>
      <c r="G390" t="n">
        <v>0.1219</v>
      </c>
      <c r="H390" t="n">
        <v>0.453465</v>
      </c>
      <c r="I390">
        <f>F390*H390</f>
        <v/>
      </c>
      <c r="J390">
        <f>G390*H390</f>
        <v/>
      </c>
    </row>
    <row r="391">
      <c r="A391" t="inlineStr">
        <is>
          <t>base</t>
        </is>
      </c>
      <c r="B391" t="n">
        <v>2028</v>
      </c>
      <c r="C391" t="inlineStr">
        <is>
          <t>regenerative_gmp</t>
        </is>
      </c>
      <c r="D391" t="inlineStr">
        <is>
          <t>RoW</t>
        </is>
      </c>
      <c r="E391" t="n">
        <v>0</v>
      </c>
      <c r="F391" t="n">
        <v>0</v>
      </c>
      <c r="G391" t="n">
        <v>0</v>
      </c>
      <c r="H391" t="n">
        <v>0.453465</v>
      </c>
      <c r="I391">
        <f>F391*H391</f>
        <v/>
      </c>
      <c r="J391">
        <f>G391*H391</f>
        <v/>
      </c>
    </row>
    <row r="392">
      <c r="A392" t="inlineStr">
        <is>
          <t>base</t>
        </is>
      </c>
      <c r="B392" t="n">
        <v>2029</v>
      </c>
      <c r="C392" t="inlineStr">
        <is>
          <t>academic_ruo</t>
        </is>
      </c>
      <c r="D392" t="inlineStr">
        <is>
          <t>US</t>
        </is>
      </c>
      <c r="E392" t="n">
        <v>8668148</v>
      </c>
      <c r="F392" t="n">
        <v>5287570</v>
      </c>
      <c r="G392" t="n">
        <v>118.835</v>
      </c>
      <c r="H392" t="n">
        <v>0.074882</v>
      </c>
      <c r="I392">
        <f>F392*H392</f>
        <v/>
      </c>
      <c r="J392">
        <f>G392*H392</f>
        <v/>
      </c>
    </row>
    <row r="393">
      <c r="A393" t="inlineStr">
        <is>
          <t>base</t>
        </is>
      </c>
      <c r="B393" t="n">
        <v>2029</v>
      </c>
      <c r="C393" t="inlineStr">
        <is>
          <t>academic_ruo</t>
        </is>
      </c>
      <c r="D393" t="inlineStr">
        <is>
          <t>EU</t>
        </is>
      </c>
      <c r="E393" t="n">
        <v>9557986</v>
      </c>
      <c r="F393" t="n">
        <v>5830372</v>
      </c>
      <c r="G393" t="n">
        <v>131.0342</v>
      </c>
      <c r="H393" t="n">
        <v>0.074882</v>
      </c>
      <c r="I393">
        <f>F393*H393</f>
        <v/>
      </c>
      <c r="J393">
        <f>G393*H393</f>
        <v/>
      </c>
    </row>
    <row r="394">
      <c r="A394" t="inlineStr">
        <is>
          <t>base</t>
        </is>
      </c>
      <c r="B394" t="n">
        <v>2029</v>
      </c>
      <c r="C394" t="inlineStr">
        <is>
          <t>academic_ruo</t>
        </is>
      </c>
      <c r="D394" t="inlineStr">
        <is>
          <t>China</t>
        </is>
      </c>
      <c r="E394" t="n">
        <v>5467125</v>
      </c>
      <c r="F394" t="n">
        <v>3334946</v>
      </c>
      <c r="G394" t="n">
        <v>169.7644</v>
      </c>
      <c r="H394" t="n">
        <v>0.074882</v>
      </c>
      <c r="I394">
        <f>F394*H394</f>
        <v/>
      </c>
      <c r="J394">
        <f>G394*H394</f>
        <v/>
      </c>
    </row>
    <row r="395">
      <c r="A395" t="inlineStr">
        <is>
          <t>base</t>
        </is>
      </c>
      <c r="B395" t="n">
        <v>2029</v>
      </c>
      <c r="C395" t="inlineStr">
        <is>
          <t>academic_ruo</t>
        </is>
      </c>
      <c r="D395" t="inlineStr">
        <is>
          <t>Japan</t>
        </is>
      </c>
      <c r="E395" t="n">
        <v>1897596</v>
      </c>
      <c r="F395" t="n">
        <v>1157534</v>
      </c>
      <c r="G395" t="n">
        <v>27.3841</v>
      </c>
      <c r="H395" t="n">
        <v>0.074882</v>
      </c>
      <c r="I395">
        <f>F395*H395</f>
        <v/>
      </c>
      <c r="J395">
        <f>G395*H395</f>
        <v/>
      </c>
    </row>
    <row r="396">
      <c r="A396" t="inlineStr">
        <is>
          <t>base</t>
        </is>
      </c>
      <c r="B396" t="n">
        <v>2029</v>
      </c>
      <c r="C396" t="inlineStr">
        <is>
          <t>academic_ruo</t>
        </is>
      </c>
      <c r="D396" t="inlineStr">
        <is>
          <t>Korea</t>
        </is>
      </c>
      <c r="E396" t="n">
        <v>1612910</v>
      </c>
      <c r="F396" t="n">
        <v>983875</v>
      </c>
      <c r="G396" t="n">
        <v>24.5689</v>
      </c>
      <c r="H396" t="n">
        <v>0.074882</v>
      </c>
      <c r="I396">
        <f>F396*H396</f>
        <v/>
      </c>
      <c r="J396">
        <f>G396*H396</f>
        <v/>
      </c>
    </row>
    <row r="397">
      <c r="A397" t="inlineStr">
        <is>
          <t>base</t>
        </is>
      </c>
      <c r="B397" t="n">
        <v>2029</v>
      </c>
      <c r="C397" t="inlineStr">
        <is>
          <t>academic_ruo</t>
        </is>
      </c>
      <c r="D397" t="inlineStr">
        <is>
          <t>RoW</t>
        </is>
      </c>
      <c r="E397" t="n">
        <v>5794529</v>
      </c>
      <c r="F397" t="n">
        <v>3534663</v>
      </c>
      <c r="G397" t="n">
        <v>99.2993</v>
      </c>
      <c r="H397" t="n">
        <v>0.074882</v>
      </c>
      <c r="I397">
        <f>F397*H397</f>
        <v/>
      </c>
      <c r="J397">
        <f>G397*H397</f>
        <v/>
      </c>
    </row>
    <row r="398">
      <c r="A398" t="inlineStr">
        <is>
          <t>base</t>
        </is>
      </c>
      <c r="B398" t="n">
        <v>2029</v>
      </c>
      <c r="C398" t="inlineStr">
        <is>
          <t>pharma_preclinical_nam</t>
        </is>
      </c>
      <c r="D398" t="inlineStr">
        <is>
          <t>US</t>
        </is>
      </c>
      <c r="E398" t="n">
        <v>14239316</v>
      </c>
      <c r="F398" t="n">
        <v>7831624</v>
      </c>
      <c r="G398" t="n">
        <v>207.072</v>
      </c>
      <c r="H398" t="n">
        <v>0.115959</v>
      </c>
      <c r="I398">
        <f>F398*H398</f>
        <v/>
      </c>
      <c r="J398">
        <f>G398*H398</f>
        <v/>
      </c>
    </row>
    <row r="399">
      <c r="A399" t="inlineStr">
        <is>
          <t>base</t>
        </is>
      </c>
      <c r="B399" t="n">
        <v>2029</v>
      </c>
      <c r="C399" t="inlineStr">
        <is>
          <t>pharma_preclinical_nam</t>
        </is>
      </c>
      <c r="D399" t="inlineStr">
        <is>
          <t>EU</t>
        </is>
      </c>
      <c r="E399" t="n">
        <v>7910731</v>
      </c>
      <c r="F399" t="n">
        <v>4350902</v>
      </c>
      <c r="G399" t="n">
        <v>115.04</v>
      </c>
      <c r="H399" t="n">
        <v>0.115959</v>
      </c>
      <c r="I399">
        <f>F399*H399</f>
        <v/>
      </c>
      <c r="J399">
        <f>G399*H399</f>
        <v/>
      </c>
    </row>
    <row r="400">
      <c r="A400" t="inlineStr">
        <is>
          <t>base</t>
        </is>
      </c>
      <c r="B400" t="n">
        <v>2029</v>
      </c>
      <c r="C400" t="inlineStr">
        <is>
          <t>pharma_preclinical_nam</t>
        </is>
      </c>
      <c r="D400" t="inlineStr">
        <is>
          <t>China</t>
        </is>
      </c>
      <c r="E400" t="n">
        <v>2095553</v>
      </c>
      <c r="F400" t="n">
        <v>1152554</v>
      </c>
      <c r="G400" t="n">
        <v>69.024</v>
      </c>
      <c r="H400" t="n">
        <v>0.115959</v>
      </c>
      <c r="I400">
        <f>F400*H400</f>
        <v/>
      </c>
      <c r="J400">
        <f>G400*H400</f>
        <v/>
      </c>
    </row>
    <row r="401">
      <c r="A401" t="inlineStr">
        <is>
          <t>base</t>
        </is>
      </c>
      <c r="B401" t="n">
        <v>2029</v>
      </c>
      <c r="C401" t="inlineStr">
        <is>
          <t>pharma_preclinical_nam</t>
        </is>
      </c>
      <c r="D401" t="inlineStr">
        <is>
          <t>Japan</t>
        </is>
      </c>
      <c r="E401" t="n">
        <v>2104255</v>
      </c>
      <c r="F401" t="n">
        <v>1157340</v>
      </c>
      <c r="G401" t="n">
        <v>32.2112</v>
      </c>
      <c r="H401" t="n">
        <v>0.115959</v>
      </c>
      <c r="I401">
        <f>F401*H401</f>
        <v/>
      </c>
      <c r="J401">
        <f>G401*H401</f>
        <v/>
      </c>
    </row>
    <row r="402">
      <c r="A402" t="inlineStr">
        <is>
          <t>base</t>
        </is>
      </c>
      <c r="B402" t="n">
        <v>2029</v>
      </c>
      <c r="C402" t="inlineStr">
        <is>
          <t>pharma_preclinical_nam</t>
        </is>
      </c>
      <c r="D402" t="inlineStr">
        <is>
          <t>Korea</t>
        </is>
      </c>
      <c r="E402" t="n">
        <v>854359</v>
      </c>
      <c r="F402" t="n">
        <v>469897</v>
      </c>
      <c r="G402" t="n">
        <v>13.8048</v>
      </c>
      <c r="H402" t="n">
        <v>0.115959</v>
      </c>
      <c r="I402">
        <f>F402*H402</f>
        <v/>
      </c>
      <c r="J402">
        <f>G402*H402</f>
        <v/>
      </c>
    </row>
    <row r="403">
      <c r="A403" t="inlineStr">
        <is>
          <t>base</t>
        </is>
      </c>
      <c r="B403" t="n">
        <v>2029</v>
      </c>
      <c r="C403" t="inlineStr">
        <is>
          <t>pharma_preclinical_nam</t>
        </is>
      </c>
      <c r="D403" t="inlineStr">
        <is>
          <t>RoW</t>
        </is>
      </c>
      <c r="E403" t="n">
        <v>1265717</v>
      </c>
      <c r="F403" t="n">
        <v>696144</v>
      </c>
      <c r="G403" t="n">
        <v>23.008</v>
      </c>
      <c r="H403" t="n">
        <v>0.115959</v>
      </c>
      <c r="I403">
        <f>F403*H403</f>
        <v/>
      </c>
      <c r="J403">
        <f>G403*H403</f>
        <v/>
      </c>
    </row>
    <row r="404">
      <c r="A404" t="inlineStr">
        <is>
          <t>base</t>
        </is>
      </c>
      <c r="B404" t="n">
        <v>2029</v>
      </c>
      <c r="C404" t="inlineStr">
        <is>
          <t>organoid_cro_biobank</t>
        </is>
      </c>
      <c r="D404" t="inlineStr">
        <is>
          <t>US</t>
        </is>
      </c>
      <c r="E404" t="n">
        <v>5547160</v>
      </c>
      <c r="F404" t="n">
        <v>2773580</v>
      </c>
      <c r="G404" t="n">
        <v>83.11279999999999</v>
      </c>
      <c r="H404" t="n">
        <v>0.025902</v>
      </c>
      <c r="I404">
        <f>F404*H404</f>
        <v/>
      </c>
      <c r="J404">
        <f>G404*H404</f>
        <v/>
      </c>
    </row>
    <row r="405">
      <c r="A405" t="inlineStr">
        <is>
          <t>base</t>
        </is>
      </c>
      <c r="B405" t="n">
        <v>2029</v>
      </c>
      <c r="C405" t="inlineStr">
        <is>
          <t>organoid_cro_biobank</t>
        </is>
      </c>
      <c r="D405" t="inlineStr">
        <is>
          <t>EU</t>
        </is>
      </c>
      <c r="E405" t="n">
        <v>2773580</v>
      </c>
      <c r="F405" t="n">
        <v>1386790</v>
      </c>
      <c r="G405" t="n">
        <v>41.5564</v>
      </c>
      <c r="H405" t="n">
        <v>0.025902</v>
      </c>
      <c r="I405">
        <f>F405*H405</f>
        <v/>
      </c>
      <c r="J405">
        <f>G405*H405</f>
        <v/>
      </c>
    </row>
    <row r="406">
      <c r="A406" t="inlineStr">
        <is>
          <t>base</t>
        </is>
      </c>
      <c r="B406" t="n">
        <v>2029</v>
      </c>
      <c r="C406" t="inlineStr">
        <is>
          <t>organoid_cro_biobank</t>
        </is>
      </c>
      <c r="D406" t="inlineStr">
        <is>
          <t>China</t>
        </is>
      </c>
      <c r="E406" t="n">
        <v>1346989</v>
      </c>
      <c r="F406" t="n">
        <v>673495</v>
      </c>
      <c r="G406" t="n">
        <v>45.712</v>
      </c>
      <c r="H406" t="n">
        <v>0.025902</v>
      </c>
      <c r="I406">
        <f>F406*H406</f>
        <v/>
      </c>
      <c r="J406">
        <f>G406*H406</f>
        <v/>
      </c>
    </row>
    <row r="407">
      <c r="A407" t="inlineStr">
        <is>
          <t>base</t>
        </is>
      </c>
      <c r="B407" t="n">
        <v>2029</v>
      </c>
      <c r="C407" t="inlineStr">
        <is>
          <t>organoid_cro_biobank</t>
        </is>
      </c>
      <c r="D407" t="inlineStr">
        <is>
          <t>Japan</t>
        </is>
      </c>
      <c r="E407" t="n">
        <v>790470</v>
      </c>
      <c r="F407" t="n">
        <v>395235</v>
      </c>
      <c r="G407" t="n">
        <v>12.4669</v>
      </c>
      <c r="H407" t="n">
        <v>0.025902</v>
      </c>
      <c r="I407">
        <f>F407*H407</f>
        <v/>
      </c>
      <c r="J407">
        <f>G407*H407</f>
        <v/>
      </c>
    </row>
    <row r="408">
      <c r="A408" t="inlineStr">
        <is>
          <t>base</t>
        </is>
      </c>
      <c r="B408" t="n">
        <v>2029</v>
      </c>
      <c r="C408" t="inlineStr">
        <is>
          <t>organoid_cro_biobank</t>
        </is>
      </c>
      <c r="D408" t="inlineStr">
        <is>
          <t>Korea</t>
        </is>
      </c>
      <c r="E408" t="n">
        <v>624055</v>
      </c>
      <c r="F408" t="n">
        <v>312028</v>
      </c>
      <c r="G408" t="n">
        <v>10.3891</v>
      </c>
      <c r="H408" t="n">
        <v>0.025902</v>
      </c>
      <c r="I408">
        <f>F408*H408</f>
        <v/>
      </c>
      <c r="J408">
        <f>G408*H408</f>
        <v/>
      </c>
    </row>
    <row r="409">
      <c r="A409" t="inlineStr">
        <is>
          <t>base</t>
        </is>
      </c>
      <c r="B409" t="n">
        <v>2029</v>
      </c>
      <c r="C409" t="inlineStr">
        <is>
          <t>organoid_cro_biobank</t>
        </is>
      </c>
      <c r="D409" t="inlineStr">
        <is>
          <t>RoW</t>
        </is>
      </c>
      <c r="E409" t="n">
        <v>776602</v>
      </c>
      <c r="F409" t="n">
        <v>388301</v>
      </c>
      <c r="G409" t="n">
        <v>14.5447</v>
      </c>
      <c r="H409" t="n">
        <v>0.025902</v>
      </c>
      <c r="I409">
        <f>F409*H409</f>
        <v/>
      </c>
      <c r="J409">
        <f>G409*H409</f>
        <v/>
      </c>
    </row>
    <row r="410">
      <c r="A410" t="inlineStr">
        <is>
          <t>base</t>
        </is>
      </c>
      <c r="B410" t="n">
        <v>2029</v>
      </c>
      <c r="C410" t="inlineStr">
        <is>
          <t>clinical_dx_pdo</t>
        </is>
      </c>
      <c r="D410" t="inlineStr">
        <is>
          <t>US</t>
        </is>
      </c>
      <c r="E410" t="n">
        <v>678940</v>
      </c>
      <c r="F410" t="n">
        <v>305523</v>
      </c>
      <c r="G410" t="n">
        <v>6.8665</v>
      </c>
      <c r="H410" t="n">
        <v>0.032271</v>
      </c>
      <c r="I410">
        <f>F410*H410</f>
        <v/>
      </c>
      <c r="J410">
        <f>G410*H410</f>
        <v/>
      </c>
    </row>
    <row r="411">
      <c r="A411" t="inlineStr">
        <is>
          <t>base</t>
        </is>
      </c>
      <c r="B411" t="n">
        <v>2029</v>
      </c>
      <c r="C411" t="inlineStr">
        <is>
          <t>clinical_dx_pdo</t>
        </is>
      </c>
      <c r="D411" t="inlineStr">
        <is>
          <t>EU</t>
        </is>
      </c>
      <c r="E411" t="n">
        <v>407364</v>
      </c>
      <c r="F411" t="n">
        <v>183314</v>
      </c>
      <c r="G411" t="n">
        <v>4.1199</v>
      </c>
      <c r="H411" t="n">
        <v>0.032271</v>
      </c>
      <c r="I411">
        <f>F411*H411</f>
        <v/>
      </c>
      <c r="J411">
        <f>G411*H411</f>
        <v/>
      </c>
    </row>
    <row r="412">
      <c r="A412" t="inlineStr">
        <is>
          <t>base</t>
        </is>
      </c>
      <c r="B412" t="n">
        <v>2029</v>
      </c>
      <c r="C412" t="inlineStr">
        <is>
          <t>clinical_dx_pdo</t>
        </is>
      </c>
      <c r="D412" t="inlineStr">
        <is>
          <t>China</t>
        </is>
      </c>
      <c r="E412" t="n">
        <v>539554</v>
      </c>
      <c r="F412" t="n">
        <v>242799</v>
      </c>
      <c r="G412" t="n">
        <v>12.3596</v>
      </c>
      <c r="H412" t="n">
        <v>0.032271</v>
      </c>
      <c r="I412">
        <f>F412*H412</f>
        <v/>
      </c>
      <c r="J412">
        <f>G412*H412</f>
        <v/>
      </c>
    </row>
    <row r="413">
      <c r="A413" t="inlineStr">
        <is>
          <t>base</t>
        </is>
      </c>
      <c r="B413" t="n">
        <v>2029</v>
      </c>
      <c r="C413" t="inlineStr">
        <is>
          <t>clinical_dx_pdo</t>
        </is>
      </c>
      <c r="D413" t="inlineStr">
        <is>
          <t>Japan</t>
        </is>
      </c>
      <c r="E413" t="n">
        <v>154798</v>
      </c>
      <c r="F413" t="n">
        <v>69659</v>
      </c>
      <c r="G413" t="n">
        <v>1.6479</v>
      </c>
      <c r="H413" t="n">
        <v>0.032271</v>
      </c>
      <c r="I413">
        <f>F413*H413</f>
        <v/>
      </c>
      <c r="J413">
        <f>G413*H413</f>
        <v/>
      </c>
    </row>
    <row r="414">
      <c r="A414" t="inlineStr">
        <is>
          <t>base</t>
        </is>
      </c>
      <c r="B414" t="n">
        <v>2029</v>
      </c>
      <c r="C414" t="inlineStr">
        <is>
          <t>clinical_dx_pdo</t>
        </is>
      </c>
      <c r="D414" t="inlineStr">
        <is>
          <t>Korea</t>
        </is>
      </c>
      <c r="E414" t="n">
        <v>122209</v>
      </c>
      <c r="F414" t="n">
        <v>54994</v>
      </c>
      <c r="G414" t="n">
        <v>1.3733</v>
      </c>
      <c r="H414" t="n">
        <v>0.032271</v>
      </c>
      <c r="I414">
        <f>F414*H414</f>
        <v/>
      </c>
      <c r="J414">
        <f>G414*H414</f>
        <v/>
      </c>
    </row>
    <row r="415">
      <c r="A415" t="inlineStr">
        <is>
          <t>base</t>
        </is>
      </c>
      <c r="B415" t="n">
        <v>2029</v>
      </c>
      <c r="C415" t="inlineStr">
        <is>
          <t>clinical_dx_pdo</t>
        </is>
      </c>
      <c r="D415" t="inlineStr">
        <is>
          <t>RoW</t>
        </is>
      </c>
      <c r="E415" t="n">
        <v>86904</v>
      </c>
      <c r="F415" t="n">
        <v>39107</v>
      </c>
      <c r="G415" t="n">
        <v>1.0986</v>
      </c>
      <c r="H415" t="n">
        <v>0.032271</v>
      </c>
      <c r="I415">
        <f>F415*H415</f>
        <v/>
      </c>
      <c r="J415">
        <f>G415*H415</f>
        <v/>
      </c>
    </row>
    <row r="416">
      <c r="A416" t="inlineStr">
        <is>
          <t>base</t>
        </is>
      </c>
      <c r="B416" t="n">
        <v>2029</v>
      </c>
      <c r="C416" t="inlineStr">
        <is>
          <t>regenerative_gmp</t>
        </is>
      </c>
      <c r="D416" t="inlineStr">
        <is>
          <t>US</t>
        </is>
      </c>
      <c r="E416" t="n">
        <v>95760</v>
      </c>
      <c r="F416" t="n">
        <v>95760</v>
      </c>
      <c r="G416" t="n">
        <v>0.8841</v>
      </c>
      <c r="H416" t="n">
        <v>0.566917</v>
      </c>
      <c r="I416">
        <f>F416*H416</f>
        <v/>
      </c>
      <c r="J416">
        <f>G416*H416</f>
        <v/>
      </c>
    </row>
    <row r="417">
      <c r="A417" t="inlineStr">
        <is>
          <t>base</t>
        </is>
      </c>
      <c r="B417" t="n">
        <v>2029</v>
      </c>
      <c r="C417" t="inlineStr">
        <is>
          <t>regenerative_gmp</t>
        </is>
      </c>
      <c r="D417" t="inlineStr">
        <is>
          <t>EU</t>
        </is>
      </c>
      <c r="E417" t="n">
        <v>76608</v>
      </c>
      <c r="F417" t="n">
        <v>76608</v>
      </c>
      <c r="G417" t="n">
        <v>0.7073</v>
      </c>
      <c r="H417" t="n">
        <v>0.566917</v>
      </c>
      <c r="I417">
        <f>F417*H417</f>
        <v/>
      </c>
      <c r="J417">
        <f>G417*H417</f>
        <v/>
      </c>
    </row>
    <row r="418">
      <c r="A418" t="inlineStr">
        <is>
          <t>base</t>
        </is>
      </c>
      <c r="B418" t="n">
        <v>2029</v>
      </c>
      <c r="C418" t="inlineStr">
        <is>
          <t>regenerative_gmp</t>
        </is>
      </c>
      <c r="D418" t="inlineStr">
        <is>
          <t>China</t>
        </is>
      </c>
      <c r="E418" t="n">
        <v>16911</v>
      </c>
      <c r="F418" t="n">
        <v>16911</v>
      </c>
      <c r="G418" t="n">
        <v>0.3536</v>
      </c>
      <c r="H418" t="n">
        <v>0.566917</v>
      </c>
      <c r="I418">
        <f>F418*H418</f>
        <v/>
      </c>
      <c r="J418">
        <f>G418*H418</f>
        <v/>
      </c>
    </row>
    <row r="419">
      <c r="A419" t="inlineStr">
        <is>
          <t>base</t>
        </is>
      </c>
      <c r="B419" t="n">
        <v>2029</v>
      </c>
      <c r="C419" t="inlineStr">
        <is>
          <t>regenerative_gmp</t>
        </is>
      </c>
      <c r="D419" t="inlineStr">
        <is>
          <t>Japan</t>
        </is>
      </c>
      <c r="E419" t="n">
        <v>145556</v>
      </c>
      <c r="F419" t="n">
        <v>145556</v>
      </c>
      <c r="G419" t="n">
        <v>1.4146</v>
      </c>
      <c r="H419" t="n">
        <v>0.566917</v>
      </c>
      <c r="I419">
        <f>F419*H419</f>
        <v/>
      </c>
      <c r="J419">
        <f>G419*H419</f>
        <v/>
      </c>
    </row>
    <row r="420">
      <c r="A420" t="inlineStr">
        <is>
          <t>base</t>
        </is>
      </c>
      <c r="B420" t="n">
        <v>2029</v>
      </c>
      <c r="C420" t="inlineStr">
        <is>
          <t>regenerative_gmp</t>
        </is>
      </c>
      <c r="D420" t="inlineStr">
        <is>
          <t>Korea</t>
        </is>
      </c>
      <c r="E420" t="n">
        <v>17237</v>
      </c>
      <c r="F420" t="n">
        <v>17237</v>
      </c>
      <c r="G420" t="n">
        <v>0.1768</v>
      </c>
      <c r="H420" t="n">
        <v>0.566917</v>
      </c>
      <c r="I420">
        <f>F420*H420</f>
        <v/>
      </c>
      <c r="J420">
        <f>G420*H420</f>
        <v/>
      </c>
    </row>
    <row r="421">
      <c r="A421" t="inlineStr">
        <is>
          <t>base</t>
        </is>
      </c>
      <c r="B421" t="n">
        <v>2029</v>
      </c>
      <c r="C421" t="inlineStr">
        <is>
          <t>regenerative_gmp</t>
        </is>
      </c>
      <c r="D421" t="inlineStr">
        <is>
          <t>RoW</t>
        </is>
      </c>
      <c r="E421" t="n">
        <v>0</v>
      </c>
      <c r="F421" t="n">
        <v>0</v>
      </c>
      <c r="G421" t="n">
        <v>0</v>
      </c>
      <c r="H421" t="n">
        <v>0.566917</v>
      </c>
      <c r="I421">
        <f>F421*H421</f>
        <v/>
      </c>
      <c r="J421">
        <f>G421*H421</f>
        <v/>
      </c>
    </row>
    <row r="422">
      <c r="A422" t="inlineStr">
        <is>
          <t>base</t>
        </is>
      </c>
      <c r="B422" t="n">
        <v>2030</v>
      </c>
      <c r="C422" t="inlineStr">
        <is>
          <t>academic_ruo</t>
        </is>
      </c>
      <c r="D422" t="inlineStr">
        <is>
          <t>US</t>
        </is>
      </c>
      <c r="E422" t="n">
        <v>9259315</v>
      </c>
      <c r="F422" t="n">
        <v>5648182</v>
      </c>
      <c r="G422" t="n">
        <v>129.5302</v>
      </c>
      <c r="H422" t="n">
        <v>0.092693</v>
      </c>
      <c r="I422">
        <f>F422*H422</f>
        <v/>
      </c>
      <c r="J422">
        <f>G422*H422</f>
        <v/>
      </c>
    </row>
    <row r="423">
      <c r="A423" t="inlineStr">
        <is>
          <t>base</t>
        </is>
      </c>
      <c r="B423" t="n">
        <v>2030</v>
      </c>
      <c r="C423" t="inlineStr">
        <is>
          <t>academic_ruo</t>
        </is>
      </c>
      <c r="D423" t="inlineStr">
        <is>
          <t>EU</t>
        </is>
      </c>
      <c r="E423" t="n">
        <v>10209841</v>
      </c>
      <c r="F423" t="n">
        <v>6228003</v>
      </c>
      <c r="G423" t="n">
        <v>142.8273</v>
      </c>
      <c r="H423" t="n">
        <v>0.092693</v>
      </c>
      <c r="I423">
        <f>F423*H423</f>
        <v/>
      </c>
      <c r="J423">
        <f>G423*H423</f>
        <v/>
      </c>
    </row>
    <row r="424">
      <c r="A424" t="inlineStr">
        <is>
          <t>base</t>
        </is>
      </c>
      <c r="B424" t="n">
        <v>2030</v>
      </c>
      <c r="C424" t="inlineStr">
        <is>
          <t>academic_ruo</t>
        </is>
      </c>
      <c r="D424" t="inlineStr">
        <is>
          <t>China</t>
        </is>
      </c>
      <c r="E424" t="n">
        <v>5839983</v>
      </c>
      <c r="F424" t="n">
        <v>3562389</v>
      </c>
      <c r="G424" t="n">
        <v>185.0431</v>
      </c>
      <c r="H424" t="n">
        <v>0.092693</v>
      </c>
      <c r="I424">
        <f>F424*H424</f>
        <v/>
      </c>
      <c r="J424">
        <f>G424*H424</f>
        <v/>
      </c>
    </row>
    <row r="425">
      <c r="A425" t="inlineStr">
        <is>
          <t>base</t>
        </is>
      </c>
      <c r="B425" t="n">
        <v>2030</v>
      </c>
      <c r="C425" t="inlineStr">
        <is>
          <t>academic_ruo</t>
        </is>
      </c>
      <c r="D425" t="inlineStr">
        <is>
          <t>Japan</t>
        </is>
      </c>
      <c r="E425" t="n">
        <v>2027012</v>
      </c>
      <c r="F425" t="n">
        <v>1236478</v>
      </c>
      <c r="G425" t="n">
        <v>29.8487</v>
      </c>
      <c r="H425" t="n">
        <v>0.092693</v>
      </c>
      <c r="I425">
        <f>F425*H425</f>
        <v/>
      </c>
      <c r="J425">
        <f>G425*H425</f>
        <v/>
      </c>
    </row>
    <row r="426">
      <c r="A426" t="inlineStr">
        <is>
          <t>base</t>
        </is>
      </c>
      <c r="B426" t="n">
        <v>2030</v>
      </c>
      <c r="C426" t="inlineStr">
        <is>
          <t>academic_ruo</t>
        </is>
      </c>
      <c r="D426" t="inlineStr">
        <is>
          <t>Korea</t>
        </is>
      </c>
      <c r="E426" t="n">
        <v>1722911</v>
      </c>
      <c r="F426" t="n">
        <v>1050976</v>
      </c>
      <c r="G426" t="n">
        <v>26.7801</v>
      </c>
      <c r="H426" t="n">
        <v>0.092693</v>
      </c>
      <c r="I426">
        <f>F426*H426</f>
        <v/>
      </c>
      <c r="J426">
        <f>G426*H426</f>
        <v/>
      </c>
    </row>
    <row r="427">
      <c r="A427" t="inlineStr">
        <is>
          <t>base</t>
        </is>
      </c>
      <c r="B427" t="n">
        <v>2030</v>
      </c>
      <c r="C427" t="inlineStr">
        <is>
          <t>academic_ruo</t>
        </is>
      </c>
      <c r="D427" t="inlineStr">
        <is>
          <t>RoW</t>
        </is>
      </c>
      <c r="E427" t="n">
        <v>6189716</v>
      </c>
      <c r="F427" t="n">
        <v>3775727</v>
      </c>
      <c r="G427" t="n">
        <v>108.2363</v>
      </c>
      <c r="H427" t="n">
        <v>0.092693</v>
      </c>
      <c r="I427">
        <f>F427*H427</f>
        <v/>
      </c>
      <c r="J427">
        <f>G427*H427</f>
        <v/>
      </c>
    </row>
    <row r="428">
      <c r="A428" t="inlineStr">
        <is>
          <t>base</t>
        </is>
      </c>
      <c r="B428" t="n">
        <v>2030</v>
      </c>
      <c r="C428" t="inlineStr">
        <is>
          <t>pharma_preclinical_nam</t>
        </is>
      </c>
      <c r="D428" t="inlineStr">
        <is>
          <t>US</t>
        </is>
      </c>
      <c r="E428" t="n">
        <v>18831884</v>
      </c>
      <c r="F428" t="n">
        <v>10357536</v>
      </c>
      <c r="G428" t="n">
        <v>279.4473</v>
      </c>
      <c r="H428" t="n">
        <v>0.147181</v>
      </c>
      <c r="I428">
        <f>F428*H428</f>
        <v/>
      </c>
      <c r="J428">
        <f>G428*H428</f>
        <v/>
      </c>
    </row>
    <row r="429">
      <c r="A429" t="inlineStr">
        <is>
          <t>base</t>
        </is>
      </c>
      <c r="B429" t="n">
        <v>2030</v>
      </c>
      <c r="C429" t="inlineStr">
        <is>
          <t>pharma_preclinical_nam</t>
        </is>
      </c>
      <c r="D429" t="inlineStr">
        <is>
          <t>EU</t>
        </is>
      </c>
      <c r="E429" t="n">
        <v>10462158</v>
      </c>
      <c r="F429" t="n">
        <v>5754187</v>
      </c>
      <c r="G429" t="n">
        <v>155.2485</v>
      </c>
      <c r="H429" t="n">
        <v>0.147181</v>
      </c>
      <c r="I429">
        <f>F429*H429</f>
        <v/>
      </c>
      <c r="J429">
        <f>G429*H429</f>
        <v/>
      </c>
    </row>
    <row r="430">
      <c r="A430" t="inlineStr">
        <is>
          <t>base</t>
        </is>
      </c>
      <c r="B430" t="n">
        <v>2030</v>
      </c>
      <c r="C430" t="inlineStr">
        <is>
          <t>pharma_preclinical_nam</t>
        </is>
      </c>
      <c r="D430" t="inlineStr">
        <is>
          <t>China</t>
        </is>
      </c>
      <c r="E430" t="n">
        <v>2771426</v>
      </c>
      <c r="F430" t="n">
        <v>1524284</v>
      </c>
      <c r="G430" t="n">
        <v>93.1491</v>
      </c>
      <c r="H430" t="n">
        <v>0.147181</v>
      </c>
      <c r="I430">
        <f>F430*H430</f>
        <v/>
      </c>
      <c r="J430">
        <f>G430*H430</f>
        <v/>
      </c>
    </row>
    <row r="431">
      <c r="A431" t="inlineStr">
        <is>
          <t>base</t>
        </is>
      </c>
      <c r="B431" t="n">
        <v>2030</v>
      </c>
      <c r="C431" t="inlineStr">
        <is>
          <t>pharma_preclinical_nam</t>
        </is>
      </c>
      <c r="D431" t="inlineStr">
        <is>
          <t>Japan</t>
        </is>
      </c>
      <c r="E431" t="n">
        <v>2782934</v>
      </c>
      <c r="F431" t="n">
        <v>1530614</v>
      </c>
      <c r="G431" t="n">
        <v>43.4696</v>
      </c>
      <c r="H431" t="n">
        <v>0.147181</v>
      </c>
      <c r="I431">
        <f>F431*H431</f>
        <v/>
      </c>
      <c r="J431">
        <f>G431*H431</f>
        <v/>
      </c>
    </row>
    <row r="432">
      <c r="A432" t="inlineStr">
        <is>
          <t>base</t>
        </is>
      </c>
      <c r="B432" t="n">
        <v>2030</v>
      </c>
      <c r="C432" t="inlineStr">
        <is>
          <t>pharma_preclinical_nam</t>
        </is>
      </c>
      <c r="D432" t="inlineStr">
        <is>
          <t>Korea</t>
        </is>
      </c>
      <c r="E432" t="n">
        <v>1129913</v>
      </c>
      <c r="F432" t="n">
        <v>621452</v>
      </c>
      <c r="G432" t="n">
        <v>18.6298</v>
      </c>
      <c r="H432" t="n">
        <v>0.147181</v>
      </c>
      <c r="I432">
        <f>F432*H432</f>
        <v/>
      </c>
      <c r="J432">
        <f>G432*H432</f>
        <v/>
      </c>
    </row>
    <row r="433">
      <c r="A433" t="inlineStr">
        <is>
          <t>base</t>
        </is>
      </c>
      <c r="B433" t="n">
        <v>2030</v>
      </c>
      <c r="C433" t="inlineStr">
        <is>
          <t>pharma_preclinical_nam</t>
        </is>
      </c>
      <c r="D433" t="inlineStr">
        <is>
          <t>RoW</t>
        </is>
      </c>
      <c r="E433" t="n">
        <v>1673945</v>
      </c>
      <c r="F433" t="n">
        <v>920670</v>
      </c>
      <c r="G433" t="n">
        <v>31.0497</v>
      </c>
      <c r="H433" t="n">
        <v>0.147181</v>
      </c>
      <c r="I433">
        <f>F433*H433</f>
        <v/>
      </c>
      <c r="J433">
        <f>G433*H433</f>
        <v/>
      </c>
    </row>
    <row r="434">
      <c r="A434" t="inlineStr">
        <is>
          <t>base</t>
        </is>
      </c>
      <c r="B434" t="n">
        <v>2030</v>
      </c>
      <c r="C434" t="inlineStr">
        <is>
          <t>organoid_cro_biobank</t>
        </is>
      </c>
      <c r="D434" t="inlineStr">
        <is>
          <t>US</t>
        </is>
      </c>
      <c r="E434" t="n">
        <v>6251649</v>
      </c>
      <c r="F434" t="n">
        <v>3125824</v>
      </c>
      <c r="G434" t="n">
        <v>95.5797</v>
      </c>
      <c r="H434" t="n">
        <v>0.029657</v>
      </c>
      <c r="I434">
        <f>F434*H434</f>
        <v/>
      </c>
      <c r="J434">
        <f>G434*H434</f>
        <v/>
      </c>
    </row>
    <row r="435">
      <c r="A435" t="inlineStr">
        <is>
          <t>base</t>
        </is>
      </c>
      <c r="B435" t="n">
        <v>2030</v>
      </c>
      <c r="C435" t="inlineStr">
        <is>
          <t>organoid_cro_biobank</t>
        </is>
      </c>
      <c r="D435" t="inlineStr">
        <is>
          <t>EU</t>
        </is>
      </c>
      <c r="E435" t="n">
        <v>3125824</v>
      </c>
      <c r="F435" t="n">
        <v>1562912</v>
      </c>
      <c r="G435" t="n">
        <v>47.7898</v>
      </c>
      <c r="H435" t="n">
        <v>0.029657</v>
      </c>
      <c r="I435">
        <f>F435*H435</f>
        <v/>
      </c>
      <c r="J435">
        <f>G435*H435</f>
        <v/>
      </c>
    </row>
    <row r="436">
      <c r="A436" t="inlineStr">
        <is>
          <t>base</t>
        </is>
      </c>
      <c r="B436" t="n">
        <v>2030</v>
      </c>
      <c r="C436" t="inlineStr">
        <is>
          <t>organoid_cro_biobank</t>
        </is>
      </c>
      <c r="D436" t="inlineStr">
        <is>
          <t>China</t>
        </is>
      </c>
      <c r="E436" t="n">
        <v>1518057</v>
      </c>
      <c r="F436" t="n">
        <v>759028</v>
      </c>
      <c r="G436" t="n">
        <v>52.5688</v>
      </c>
      <c r="H436" t="n">
        <v>0.029657</v>
      </c>
      <c r="I436">
        <f>F436*H436</f>
        <v/>
      </c>
      <c r="J436">
        <f>G436*H436</f>
        <v/>
      </c>
    </row>
    <row r="437">
      <c r="A437" t="inlineStr">
        <is>
          <t>base</t>
        </is>
      </c>
      <c r="B437" t="n">
        <v>2030</v>
      </c>
      <c r="C437" t="inlineStr">
        <is>
          <t>organoid_cro_biobank</t>
        </is>
      </c>
      <c r="D437" t="inlineStr">
        <is>
          <t>Japan</t>
        </is>
      </c>
      <c r="E437" t="n">
        <v>890860</v>
      </c>
      <c r="F437" t="n">
        <v>445430</v>
      </c>
      <c r="G437" t="n">
        <v>14.337</v>
      </c>
      <c r="H437" t="n">
        <v>0.029657</v>
      </c>
      <c r="I437">
        <f>F437*H437</f>
        <v/>
      </c>
      <c r="J437">
        <f>G437*H437</f>
        <v/>
      </c>
    </row>
    <row r="438">
      <c r="A438" t="inlineStr">
        <is>
          <t>base</t>
        </is>
      </c>
      <c r="B438" t="n">
        <v>2030</v>
      </c>
      <c r="C438" t="inlineStr">
        <is>
          <t>organoid_cro_biobank</t>
        </is>
      </c>
      <c r="D438" t="inlineStr">
        <is>
          <t>Korea</t>
        </is>
      </c>
      <c r="E438" t="n">
        <v>703310</v>
      </c>
      <c r="F438" t="n">
        <v>351655</v>
      </c>
      <c r="G438" t="n">
        <v>11.9475</v>
      </c>
      <c r="H438" t="n">
        <v>0.029657</v>
      </c>
      <c r="I438">
        <f>F438*H438</f>
        <v/>
      </c>
      <c r="J438">
        <f>G438*H438</f>
        <v/>
      </c>
    </row>
    <row r="439">
      <c r="A439" t="inlineStr">
        <is>
          <t>base</t>
        </is>
      </c>
      <c r="B439" t="n">
        <v>2030</v>
      </c>
      <c r="C439" t="inlineStr">
        <is>
          <t>organoid_cro_biobank</t>
        </is>
      </c>
      <c r="D439" t="inlineStr">
        <is>
          <t>RoW</t>
        </is>
      </c>
      <c r="E439" t="n">
        <v>875231</v>
      </c>
      <c r="F439" t="n">
        <v>437615</v>
      </c>
      <c r="G439" t="n">
        <v>16.7264</v>
      </c>
      <c r="H439" t="n">
        <v>0.029657</v>
      </c>
      <c r="I439">
        <f>F439*H439</f>
        <v/>
      </c>
      <c r="J439">
        <f>G439*H439</f>
        <v/>
      </c>
    </row>
    <row r="440">
      <c r="A440" t="inlineStr">
        <is>
          <t>base</t>
        </is>
      </c>
      <c r="B440" t="n">
        <v>2030</v>
      </c>
      <c r="C440" t="inlineStr">
        <is>
          <t>clinical_dx_pdo</t>
        </is>
      </c>
      <c r="D440" t="inlineStr">
        <is>
          <t>US</t>
        </is>
      </c>
      <c r="E440" t="n">
        <v>831702</v>
      </c>
      <c r="F440" t="n">
        <v>374266</v>
      </c>
      <c r="G440" t="n">
        <v>8.5831</v>
      </c>
      <c r="H440" t="n">
        <v>0.037539</v>
      </c>
      <c r="I440">
        <f>F440*H440</f>
        <v/>
      </c>
      <c r="J440">
        <f>G440*H440</f>
        <v/>
      </c>
    </row>
    <row r="441">
      <c r="A441" t="inlineStr">
        <is>
          <t>base</t>
        </is>
      </c>
      <c r="B441" t="n">
        <v>2030</v>
      </c>
      <c r="C441" t="inlineStr">
        <is>
          <t>clinical_dx_pdo</t>
        </is>
      </c>
      <c r="D441" t="inlineStr">
        <is>
          <t>EU</t>
        </is>
      </c>
      <c r="E441" t="n">
        <v>499021</v>
      </c>
      <c r="F441" t="n">
        <v>224560</v>
      </c>
      <c r="G441" t="n">
        <v>5.1498</v>
      </c>
      <c r="H441" t="n">
        <v>0.037539</v>
      </c>
      <c r="I441">
        <f>F441*H441</f>
        <v/>
      </c>
      <c r="J441">
        <f>G441*H441</f>
        <v/>
      </c>
    </row>
    <row r="442">
      <c r="A442" t="inlineStr">
        <is>
          <t>base</t>
        </is>
      </c>
      <c r="B442" t="n">
        <v>2030</v>
      </c>
      <c r="C442" t="inlineStr">
        <is>
          <t>clinical_dx_pdo</t>
        </is>
      </c>
      <c r="D442" t="inlineStr">
        <is>
          <t>China</t>
        </is>
      </c>
      <c r="E442" t="n">
        <v>660954</v>
      </c>
      <c r="F442" t="n">
        <v>297429</v>
      </c>
      <c r="G442" t="n">
        <v>15.4495</v>
      </c>
      <c r="H442" t="n">
        <v>0.037539</v>
      </c>
      <c r="I442">
        <f>F442*H442</f>
        <v/>
      </c>
      <c r="J442">
        <f>G442*H442</f>
        <v/>
      </c>
    </row>
    <row r="443">
      <c r="A443" t="inlineStr">
        <is>
          <t>base</t>
        </is>
      </c>
      <c r="B443" t="n">
        <v>2030</v>
      </c>
      <c r="C443" t="inlineStr">
        <is>
          <t>clinical_dx_pdo</t>
        </is>
      </c>
      <c r="D443" t="inlineStr">
        <is>
          <t>Japan</t>
        </is>
      </c>
      <c r="E443" t="n">
        <v>189628</v>
      </c>
      <c r="F443" t="n">
        <v>85333</v>
      </c>
      <c r="G443" t="n">
        <v>2.0599</v>
      </c>
      <c r="H443" t="n">
        <v>0.037539</v>
      </c>
      <c r="I443">
        <f>F443*H443</f>
        <v/>
      </c>
      <c r="J443">
        <f>G443*H443</f>
        <v/>
      </c>
    </row>
    <row r="444">
      <c r="A444" t="inlineStr">
        <is>
          <t>base</t>
        </is>
      </c>
      <c r="B444" t="n">
        <v>2030</v>
      </c>
      <c r="C444" t="inlineStr">
        <is>
          <t>clinical_dx_pdo</t>
        </is>
      </c>
      <c r="D444" t="inlineStr">
        <is>
          <t>Korea</t>
        </is>
      </c>
      <c r="E444" t="n">
        <v>149706</v>
      </c>
      <c r="F444" t="n">
        <v>67368</v>
      </c>
      <c r="G444" t="n">
        <v>1.7166</v>
      </c>
      <c r="H444" t="n">
        <v>0.037539</v>
      </c>
      <c r="I444">
        <f>F444*H444</f>
        <v/>
      </c>
      <c r="J444">
        <f>G444*H444</f>
        <v/>
      </c>
    </row>
    <row r="445">
      <c r="A445" t="inlineStr">
        <is>
          <t>base</t>
        </is>
      </c>
      <c r="B445" t="n">
        <v>2030</v>
      </c>
      <c r="C445" t="inlineStr">
        <is>
          <t>clinical_dx_pdo</t>
        </is>
      </c>
      <c r="D445" t="inlineStr">
        <is>
          <t>RoW</t>
        </is>
      </c>
      <c r="E445" t="n">
        <v>106458</v>
      </c>
      <c r="F445" t="n">
        <v>47906</v>
      </c>
      <c r="G445" t="n">
        <v>1.3733</v>
      </c>
      <c r="H445" t="n">
        <v>0.037539</v>
      </c>
      <c r="I445">
        <f>F445*H445</f>
        <v/>
      </c>
      <c r="J445">
        <f>G445*H445</f>
        <v/>
      </c>
    </row>
    <row r="446">
      <c r="A446" t="inlineStr">
        <is>
          <t>base</t>
        </is>
      </c>
      <c r="B446" t="n">
        <v>2030</v>
      </c>
      <c r="C446" t="inlineStr">
        <is>
          <t>regenerative_gmp</t>
        </is>
      </c>
      <c r="D446" t="inlineStr">
        <is>
          <t>US</t>
        </is>
      </c>
      <c r="E446" t="n">
        <v>136075</v>
      </c>
      <c r="F446" t="n">
        <v>136075</v>
      </c>
      <c r="G446" t="n">
        <v>1.2819</v>
      </c>
      <c r="H446" t="n">
        <v>0.673762</v>
      </c>
      <c r="I446">
        <f>F446*H446</f>
        <v/>
      </c>
      <c r="J446">
        <f>G446*H446</f>
        <v/>
      </c>
    </row>
    <row r="447">
      <c r="A447" t="inlineStr">
        <is>
          <t>base</t>
        </is>
      </c>
      <c r="B447" t="n">
        <v>2030</v>
      </c>
      <c r="C447" t="inlineStr">
        <is>
          <t>regenerative_gmp</t>
        </is>
      </c>
      <c r="D447" t="inlineStr">
        <is>
          <t>EU</t>
        </is>
      </c>
      <c r="E447" t="n">
        <v>108860</v>
      </c>
      <c r="F447" t="n">
        <v>108860</v>
      </c>
      <c r="G447" t="n">
        <v>1.0256</v>
      </c>
      <c r="H447" t="n">
        <v>0.673762</v>
      </c>
      <c r="I447">
        <f>F447*H447</f>
        <v/>
      </c>
      <c r="J447">
        <f>G447*H447</f>
        <v/>
      </c>
    </row>
    <row r="448">
      <c r="A448" t="inlineStr">
        <is>
          <t>base</t>
        </is>
      </c>
      <c r="B448" t="n">
        <v>2030</v>
      </c>
      <c r="C448" t="inlineStr">
        <is>
          <t>regenerative_gmp</t>
        </is>
      </c>
      <c r="D448" t="inlineStr">
        <is>
          <t>China</t>
        </is>
      </c>
      <c r="E448" t="n">
        <v>24031</v>
      </c>
      <c r="F448" t="n">
        <v>24031</v>
      </c>
      <c r="G448" t="n">
        <v>0.5128</v>
      </c>
      <c r="H448" t="n">
        <v>0.673762</v>
      </c>
      <c r="I448">
        <f>F448*H448</f>
        <v/>
      </c>
      <c r="J448">
        <f>G448*H448</f>
        <v/>
      </c>
    </row>
    <row r="449">
      <c r="A449" t="inlineStr">
        <is>
          <t>base</t>
        </is>
      </c>
      <c r="B449" t="n">
        <v>2030</v>
      </c>
      <c r="C449" t="inlineStr">
        <is>
          <t>regenerative_gmp</t>
        </is>
      </c>
      <c r="D449" t="inlineStr">
        <is>
          <t>Japan</t>
        </is>
      </c>
      <c r="E449" t="n">
        <v>206835</v>
      </c>
      <c r="F449" t="n">
        <v>206835</v>
      </c>
      <c r="G449" t="n">
        <v>2.0511</v>
      </c>
      <c r="H449" t="n">
        <v>0.673762</v>
      </c>
      <c r="I449">
        <f>F449*H449</f>
        <v/>
      </c>
      <c r="J449">
        <f>G449*H449</f>
        <v/>
      </c>
    </row>
    <row r="450">
      <c r="A450" t="inlineStr">
        <is>
          <t>base</t>
        </is>
      </c>
      <c r="B450" t="n">
        <v>2030</v>
      </c>
      <c r="C450" t="inlineStr">
        <is>
          <t>regenerative_gmp</t>
        </is>
      </c>
      <c r="D450" t="inlineStr">
        <is>
          <t>Korea</t>
        </is>
      </c>
      <c r="E450" t="n">
        <v>24494</v>
      </c>
      <c r="F450" t="n">
        <v>24494</v>
      </c>
      <c r="G450" t="n">
        <v>0.2564</v>
      </c>
      <c r="H450" t="n">
        <v>0.673762</v>
      </c>
      <c r="I450">
        <f>F450*H450</f>
        <v/>
      </c>
      <c r="J450">
        <f>G450*H450</f>
        <v/>
      </c>
    </row>
    <row r="451">
      <c r="A451" t="inlineStr">
        <is>
          <t>base</t>
        </is>
      </c>
      <c r="B451" t="n">
        <v>2030</v>
      </c>
      <c r="C451" t="inlineStr">
        <is>
          <t>regenerative_gmp</t>
        </is>
      </c>
      <c r="D451" t="inlineStr">
        <is>
          <t>RoW</t>
        </is>
      </c>
      <c r="E451" t="n">
        <v>0</v>
      </c>
      <c r="F451" t="n">
        <v>0</v>
      </c>
      <c r="G451" t="n">
        <v>0</v>
      </c>
      <c r="H451" t="n">
        <v>0.673762</v>
      </c>
      <c r="I451">
        <f>F451*H451</f>
        <v/>
      </c>
      <c r="J451">
        <f>G451*H451</f>
        <v/>
      </c>
    </row>
    <row r="452">
      <c r="A452" t="inlineStr">
        <is>
          <t>base</t>
        </is>
      </c>
      <c r="B452" t="n">
        <v>2031</v>
      </c>
      <c r="C452" t="inlineStr">
        <is>
          <t>academic_ruo</t>
        </is>
      </c>
      <c r="D452" t="inlineStr">
        <is>
          <t>US</t>
        </is>
      </c>
      <c r="E452" t="n">
        <v>9482465</v>
      </c>
      <c r="F452" t="n">
        <v>5784304</v>
      </c>
      <c r="G452" t="n">
        <v>135.3591</v>
      </c>
      <c r="H452" t="n">
        <v>0.113882</v>
      </c>
      <c r="I452">
        <f>F452*H452</f>
        <v/>
      </c>
      <c r="J452">
        <f>G452*H452</f>
        <v/>
      </c>
    </row>
    <row r="453">
      <c r="A453" t="inlineStr">
        <is>
          <t>base</t>
        </is>
      </c>
      <c r="B453" t="n">
        <v>2031</v>
      </c>
      <c r="C453" t="inlineStr">
        <is>
          <t>academic_ruo</t>
        </is>
      </c>
      <c r="D453" t="inlineStr">
        <is>
          <t>EU</t>
        </is>
      </c>
      <c r="E453" t="n">
        <v>10455898</v>
      </c>
      <c r="F453" t="n">
        <v>6378098</v>
      </c>
      <c r="G453" t="n">
        <v>149.2545</v>
      </c>
      <c r="H453" t="n">
        <v>0.113882</v>
      </c>
      <c r="I453">
        <f>F453*H453</f>
        <v/>
      </c>
      <c r="J453">
        <f>G453*H453</f>
        <v/>
      </c>
    </row>
    <row r="454">
      <c r="A454" t="inlineStr">
        <is>
          <t>base</t>
        </is>
      </c>
      <c r="B454" t="n">
        <v>2031</v>
      </c>
      <c r="C454" t="inlineStr">
        <is>
          <t>academic_ruo</t>
        </is>
      </c>
      <c r="D454" t="inlineStr">
        <is>
          <t>China</t>
        </is>
      </c>
      <c r="E454" t="n">
        <v>5980726</v>
      </c>
      <c r="F454" t="n">
        <v>3648243</v>
      </c>
      <c r="G454" t="n">
        <v>193.3701</v>
      </c>
      <c r="H454" t="n">
        <v>0.113882</v>
      </c>
      <c r="I454">
        <f>F454*H454</f>
        <v/>
      </c>
      <c r="J454">
        <f>G454*H454</f>
        <v/>
      </c>
    </row>
    <row r="455">
      <c r="A455" t="inlineStr">
        <is>
          <t>base</t>
        </is>
      </c>
      <c r="B455" t="n">
        <v>2031</v>
      </c>
      <c r="C455" t="inlineStr">
        <is>
          <t>academic_ruo</t>
        </is>
      </c>
      <c r="D455" t="inlineStr">
        <is>
          <t>Japan</t>
        </is>
      </c>
      <c r="E455" t="n">
        <v>2075863</v>
      </c>
      <c r="F455" t="n">
        <v>1266277</v>
      </c>
      <c r="G455" t="n">
        <v>31.1919</v>
      </c>
      <c r="H455" t="n">
        <v>0.113882</v>
      </c>
      <c r="I455">
        <f>F455*H455</f>
        <v/>
      </c>
      <c r="J455">
        <f>G455*H455</f>
        <v/>
      </c>
    </row>
    <row r="456">
      <c r="A456" t="inlineStr">
        <is>
          <t>base</t>
        </is>
      </c>
      <c r="B456" t="n">
        <v>2031</v>
      </c>
      <c r="C456" t="inlineStr">
        <is>
          <t>academic_ruo</t>
        </is>
      </c>
      <c r="D456" t="inlineStr">
        <is>
          <t>Korea</t>
        </is>
      </c>
      <c r="E456" t="n">
        <v>1764433</v>
      </c>
      <c r="F456" t="n">
        <v>1076304</v>
      </c>
      <c r="G456" t="n">
        <v>27.9852</v>
      </c>
      <c r="H456" t="n">
        <v>0.113882</v>
      </c>
      <c r="I456">
        <f>F456*H456</f>
        <v/>
      </c>
      <c r="J456">
        <f>G456*H456</f>
        <v/>
      </c>
    </row>
    <row r="457">
      <c r="A457" t="inlineStr">
        <is>
          <t>base</t>
        </is>
      </c>
      <c r="B457" t="n">
        <v>2031</v>
      </c>
      <c r="C457" t="inlineStr">
        <is>
          <t>academic_ruo</t>
        </is>
      </c>
      <c r="D457" t="inlineStr">
        <is>
          <t>RoW</t>
        </is>
      </c>
      <c r="E457" t="n">
        <v>6338888</v>
      </c>
      <c r="F457" t="n">
        <v>3866722</v>
      </c>
      <c r="G457" t="n">
        <v>113.1069</v>
      </c>
      <c r="H457" t="n">
        <v>0.113882</v>
      </c>
      <c r="I457">
        <f>F457*H457</f>
        <v/>
      </c>
      <c r="J457">
        <f>G457*H457</f>
        <v/>
      </c>
    </row>
    <row r="458">
      <c r="A458" t="inlineStr">
        <is>
          <t>base</t>
        </is>
      </c>
      <c r="B458" t="n">
        <v>2031</v>
      </c>
      <c r="C458" t="inlineStr">
        <is>
          <t>pharma_preclinical_nam</t>
        </is>
      </c>
      <c r="D458" t="inlineStr">
        <is>
          <t>US</t>
        </is>
      </c>
      <c r="E458" t="n">
        <v>21068828</v>
      </c>
      <c r="F458" t="n">
        <v>11587855</v>
      </c>
      <c r="G458" t="n">
        <v>319.0218</v>
      </c>
      <c r="H458" t="n">
        <v>0.18384</v>
      </c>
      <c r="I458">
        <f>F458*H458</f>
        <v/>
      </c>
      <c r="J458">
        <f>G458*H458</f>
        <v/>
      </c>
    </row>
    <row r="459">
      <c r="A459" t="inlineStr">
        <is>
          <t>base</t>
        </is>
      </c>
      <c r="B459" t="n">
        <v>2031</v>
      </c>
      <c r="C459" t="inlineStr">
        <is>
          <t>pharma_preclinical_nam</t>
        </is>
      </c>
      <c r="D459" t="inlineStr">
        <is>
          <t>EU</t>
        </is>
      </c>
      <c r="E459" t="n">
        <v>11704905</v>
      </c>
      <c r="F459" t="n">
        <v>6437697</v>
      </c>
      <c r="G459" t="n">
        <v>177.2343</v>
      </c>
      <c r="H459" t="n">
        <v>0.18384</v>
      </c>
      <c r="I459">
        <f>F459*H459</f>
        <v/>
      </c>
      <c r="J459">
        <f>G459*H459</f>
        <v/>
      </c>
    </row>
    <row r="460">
      <c r="A460" t="inlineStr">
        <is>
          <t>base</t>
        </is>
      </c>
      <c r="B460" t="n">
        <v>2031</v>
      </c>
      <c r="C460" t="inlineStr">
        <is>
          <t>pharma_preclinical_nam</t>
        </is>
      </c>
      <c r="D460" t="inlineStr">
        <is>
          <t>China</t>
        </is>
      </c>
      <c r="E460" t="n">
        <v>3100629</v>
      </c>
      <c r="F460" t="n">
        <v>1705346</v>
      </c>
      <c r="G460" t="n">
        <v>106.3406</v>
      </c>
      <c r="H460" t="n">
        <v>0.18384</v>
      </c>
      <c r="I460">
        <f>F460*H460</f>
        <v/>
      </c>
      <c r="J460">
        <f>G460*H460</f>
        <v/>
      </c>
    </row>
    <row r="461">
      <c r="A461" t="inlineStr">
        <is>
          <t>base</t>
        </is>
      </c>
      <c r="B461" t="n">
        <v>2031</v>
      </c>
      <c r="C461" t="inlineStr">
        <is>
          <t>pharma_preclinical_nam</t>
        </is>
      </c>
      <c r="D461" t="inlineStr">
        <is>
          <t>Japan</t>
        </is>
      </c>
      <c r="E461" t="n">
        <v>3113505</v>
      </c>
      <c r="F461" t="n">
        <v>1712428</v>
      </c>
      <c r="G461" t="n">
        <v>49.6256</v>
      </c>
      <c r="H461" t="n">
        <v>0.18384</v>
      </c>
      <c r="I461">
        <f>F461*H461</f>
        <v/>
      </c>
      <c r="J461">
        <f>G461*H461</f>
        <v/>
      </c>
    </row>
    <row r="462">
      <c r="A462" t="inlineStr">
        <is>
          <t>base</t>
        </is>
      </c>
      <c r="B462" t="n">
        <v>2031</v>
      </c>
      <c r="C462" t="inlineStr">
        <is>
          <t>pharma_preclinical_nam</t>
        </is>
      </c>
      <c r="D462" t="inlineStr">
        <is>
          <t>Korea</t>
        </is>
      </c>
      <c r="E462" t="n">
        <v>1264130</v>
      </c>
      <c r="F462" t="n">
        <v>695271</v>
      </c>
      <c r="G462" t="n">
        <v>21.2681</v>
      </c>
      <c r="H462" t="n">
        <v>0.18384</v>
      </c>
      <c r="I462">
        <f>F462*H462</f>
        <v/>
      </c>
      <c r="J462">
        <f>G462*H462</f>
        <v/>
      </c>
    </row>
    <row r="463">
      <c r="A463" t="inlineStr">
        <is>
          <t>base</t>
        </is>
      </c>
      <c r="B463" t="n">
        <v>2031</v>
      </c>
      <c r="C463" t="inlineStr">
        <is>
          <t>pharma_preclinical_nam</t>
        </is>
      </c>
      <c r="D463" t="inlineStr">
        <is>
          <t>RoW</t>
        </is>
      </c>
      <c r="E463" t="n">
        <v>1872785</v>
      </c>
      <c r="F463" t="n">
        <v>1030032</v>
      </c>
      <c r="G463" t="n">
        <v>35.4469</v>
      </c>
      <c r="H463" t="n">
        <v>0.18384</v>
      </c>
      <c r="I463">
        <f>F463*H463</f>
        <v/>
      </c>
      <c r="J463">
        <f>G463*H463</f>
        <v/>
      </c>
    </row>
    <row r="464">
      <c r="A464" t="inlineStr">
        <is>
          <t>base</t>
        </is>
      </c>
      <c r="B464" t="n">
        <v>2031</v>
      </c>
      <c r="C464" t="inlineStr">
        <is>
          <t>organoid_cro_biobank</t>
        </is>
      </c>
      <c r="D464" t="inlineStr">
        <is>
          <t>US</t>
        </is>
      </c>
      <c r="E464" t="n">
        <v>6739277</v>
      </c>
      <c r="F464" t="n">
        <v>3369639</v>
      </c>
      <c r="G464" t="n">
        <v>105.1377</v>
      </c>
      <c r="H464" t="n">
        <v>0.033926</v>
      </c>
      <c r="I464">
        <f>F464*H464</f>
        <v/>
      </c>
      <c r="J464">
        <f>G464*H464</f>
        <v/>
      </c>
    </row>
    <row r="465">
      <c r="A465" t="inlineStr">
        <is>
          <t>base</t>
        </is>
      </c>
      <c r="B465" t="n">
        <v>2031</v>
      </c>
      <c r="C465" t="inlineStr">
        <is>
          <t>organoid_cro_biobank</t>
        </is>
      </c>
      <c r="D465" t="inlineStr">
        <is>
          <t>EU</t>
        </is>
      </c>
      <c r="E465" t="n">
        <v>3369639</v>
      </c>
      <c r="F465" t="n">
        <v>1684819</v>
      </c>
      <c r="G465" t="n">
        <v>52.5688</v>
      </c>
      <c r="H465" t="n">
        <v>0.033926</v>
      </c>
      <c r="I465">
        <f>F465*H465</f>
        <v/>
      </c>
      <c r="J465">
        <f>G465*H465</f>
        <v/>
      </c>
    </row>
    <row r="466">
      <c r="A466" t="inlineStr">
        <is>
          <t>base</t>
        </is>
      </c>
      <c r="B466" t="n">
        <v>2031</v>
      </c>
      <c r="C466" t="inlineStr">
        <is>
          <t>organoid_cro_biobank</t>
        </is>
      </c>
      <c r="D466" t="inlineStr">
        <is>
          <t>China</t>
        </is>
      </c>
      <c r="E466" t="n">
        <v>1636465</v>
      </c>
      <c r="F466" t="n">
        <v>818233</v>
      </c>
      <c r="G466" t="n">
        <v>57.8257</v>
      </c>
      <c r="H466" t="n">
        <v>0.033926</v>
      </c>
      <c r="I466">
        <f>F466*H466</f>
        <v/>
      </c>
      <c r="J466">
        <f>G466*H466</f>
        <v/>
      </c>
    </row>
    <row r="467">
      <c r="A467" t="inlineStr">
        <is>
          <t>base</t>
        </is>
      </c>
      <c r="B467" t="n">
        <v>2031</v>
      </c>
      <c r="C467" t="inlineStr">
        <is>
          <t>organoid_cro_biobank</t>
        </is>
      </c>
      <c r="D467" t="inlineStr">
        <is>
          <t>Japan</t>
        </is>
      </c>
      <c r="E467" t="n">
        <v>960347</v>
      </c>
      <c r="F467" t="n">
        <v>480174</v>
      </c>
      <c r="G467" t="n">
        <v>15.7706</v>
      </c>
      <c r="H467" t="n">
        <v>0.033926</v>
      </c>
      <c r="I467">
        <f>F467*H467</f>
        <v/>
      </c>
      <c r="J467">
        <f>G467*H467</f>
        <v/>
      </c>
    </row>
    <row r="468">
      <c r="A468" t="inlineStr">
        <is>
          <t>base</t>
        </is>
      </c>
      <c r="B468" t="n">
        <v>2031</v>
      </c>
      <c r="C468" t="inlineStr">
        <is>
          <t>organoid_cro_biobank</t>
        </is>
      </c>
      <c r="D468" t="inlineStr">
        <is>
          <t>Korea</t>
        </is>
      </c>
      <c r="E468" t="n">
        <v>758169</v>
      </c>
      <c r="F468" t="n">
        <v>379084</v>
      </c>
      <c r="G468" t="n">
        <v>13.1422</v>
      </c>
      <c r="H468" t="n">
        <v>0.033926</v>
      </c>
      <c r="I468">
        <f>F468*H468</f>
        <v/>
      </c>
      <c r="J468">
        <f>G468*H468</f>
        <v/>
      </c>
    </row>
    <row r="469">
      <c r="A469" t="inlineStr">
        <is>
          <t>base</t>
        </is>
      </c>
      <c r="B469" t="n">
        <v>2031</v>
      </c>
      <c r="C469" t="inlineStr">
        <is>
          <t>organoid_cro_biobank</t>
        </is>
      </c>
      <c r="D469" t="inlineStr">
        <is>
          <t>RoW</t>
        </is>
      </c>
      <c r="E469" t="n">
        <v>943499</v>
      </c>
      <c r="F469" t="n">
        <v>471749</v>
      </c>
      <c r="G469" t="n">
        <v>18.3991</v>
      </c>
      <c r="H469" t="n">
        <v>0.033926</v>
      </c>
      <c r="I469">
        <f>F469*H469</f>
        <v/>
      </c>
      <c r="J469">
        <f>G469*H469</f>
        <v/>
      </c>
    </row>
    <row r="470">
      <c r="A470" t="inlineStr">
        <is>
          <t>base</t>
        </is>
      </c>
      <c r="B470" t="n">
        <v>2031</v>
      </c>
      <c r="C470" t="inlineStr">
        <is>
          <t>clinical_dx_pdo</t>
        </is>
      </c>
      <c r="D470" t="inlineStr">
        <is>
          <t>US</t>
        </is>
      </c>
      <c r="E470" t="n">
        <v>978082</v>
      </c>
      <c r="F470" t="n">
        <v>440137</v>
      </c>
      <c r="G470" t="n">
        <v>10.2997</v>
      </c>
      <c r="H470" t="n">
        <v>0.043605</v>
      </c>
      <c r="I470">
        <f>F470*H470</f>
        <v/>
      </c>
      <c r="J470">
        <f>G470*H470</f>
        <v/>
      </c>
    </row>
    <row r="471">
      <c r="A471" t="inlineStr">
        <is>
          <t>base</t>
        </is>
      </c>
      <c r="B471" t="n">
        <v>2031</v>
      </c>
      <c r="C471" t="inlineStr">
        <is>
          <t>clinical_dx_pdo</t>
        </is>
      </c>
      <c r="D471" t="inlineStr">
        <is>
          <t>EU</t>
        </is>
      </c>
      <c r="E471" t="n">
        <v>586849</v>
      </c>
      <c r="F471" t="n">
        <v>264082</v>
      </c>
      <c r="G471" t="n">
        <v>6.1798</v>
      </c>
      <c r="H471" t="n">
        <v>0.043605</v>
      </c>
      <c r="I471">
        <f>F471*H471</f>
        <v/>
      </c>
      <c r="J471">
        <f>G471*H471</f>
        <v/>
      </c>
    </row>
    <row r="472">
      <c r="A472" t="inlineStr">
        <is>
          <t>base</t>
        </is>
      </c>
      <c r="B472" t="n">
        <v>2031</v>
      </c>
      <c r="C472" t="inlineStr">
        <is>
          <t>clinical_dx_pdo</t>
        </is>
      </c>
      <c r="D472" t="inlineStr">
        <is>
          <t>China</t>
        </is>
      </c>
      <c r="E472" t="n">
        <v>777281</v>
      </c>
      <c r="F472" t="n">
        <v>349777</v>
      </c>
      <c r="G472" t="n">
        <v>18.5394</v>
      </c>
      <c r="H472" t="n">
        <v>0.043605</v>
      </c>
      <c r="I472">
        <f>F472*H472</f>
        <v/>
      </c>
      <c r="J472">
        <f>G472*H472</f>
        <v/>
      </c>
    </row>
    <row r="473">
      <c r="A473" t="inlineStr">
        <is>
          <t>base</t>
        </is>
      </c>
      <c r="B473" t="n">
        <v>2031</v>
      </c>
      <c r="C473" t="inlineStr">
        <is>
          <t>clinical_dx_pdo</t>
        </is>
      </c>
      <c r="D473" t="inlineStr">
        <is>
          <t>Japan</t>
        </is>
      </c>
      <c r="E473" t="n">
        <v>223003</v>
      </c>
      <c r="F473" t="n">
        <v>100351</v>
      </c>
      <c r="G473" t="n">
        <v>2.4719</v>
      </c>
      <c r="H473" t="n">
        <v>0.043605</v>
      </c>
      <c r="I473">
        <f>F473*H473</f>
        <v/>
      </c>
      <c r="J473">
        <f>G473*H473</f>
        <v/>
      </c>
    </row>
    <row r="474">
      <c r="A474" t="inlineStr">
        <is>
          <t>base</t>
        </is>
      </c>
      <c r="B474" t="n">
        <v>2031</v>
      </c>
      <c r="C474" t="inlineStr">
        <is>
          <t>clinical_dx_pdo</t>
        </is>
      </c>
      <c r="D474" t="inlineStr">
        <is>
          <t>Korea</t>
        </is>
      </c>
      <c r="E474" t="n">
        <v>176055</v>
      </c>
      <c r="F474" t="n">
        <v>79225</v>
      </c>
      <c r="G474" t="n">
        <v>2.0599</v>
      </c>
      <c r="H474" t="n">
        <v>0.043605</v>
      </c>
      <c r="I474">
        <f>F474*H474</f>
        <v/>
      </c>
      <c r="J474">
        <f>G474*H474</f>
        <v/>
      </c>
    </row>
    <row r="475">
      <c r="A475" t="inlineStr">
        <is>
          <t>base</t>
        </is>
      </c>
      <c r="B475" t="n">
        <v>2031</v>
      </c>
      <c r="C475" t="inlineStr">
        <is>
          <t>clinical_dx_pdo</t>
        </is>
      </c>
      <c r="D475" t="inlineStr">
        <is>
          <t>RoW</t>
        </is>
      </c>
      <c r="E475" t="n">
        <v>125194</v>
      </c>
      <c r="F475" t="n">
        <v>56337</v>
      </c>
      <c r="G475" t="n">
        <v>1.6479</v>
      </c>
      <c r="H475" t="n">
        <v>0.043605</v>
      </c>
      <c r="I475">
        <f>F475*H475</f>
        <v/>
      </c>
      <c r="J475">
        <f>G475*H475</f>
        <v/>
      </c>
    </row>
    <row r="476">
      <c r="A476" t="inlineStr">
        <is>
          <t>base</t>
        </is>
      </c>
      <c r="B476" t="n">
        <v>2031</v>
      </c>
      <c r="C476" t="inlineStr">
        <is>
          <t>regenerative_gmp</t>
        </is>
      </c>
      <c r="D476" t="inlineStr">
        <is>
          <t>US</t>
        </is>
      </c>
      <c r="E476" t="n">
        <v>193363</v>
      </c>
      <c r="F476" t="n">
        <v>193363</v>
      </c>
      <c r="G476" t="n">
        <v>1.8588</v>
      </c>
      <c r="H476" t="n">
        <v>0.765166</v>
      </c>
      <c r="I476">
        <f>F476*H476</f>
        <v/>
      </c>
      <c r="J476">
        <f>G476*H476</f>
        <v/>
      </c>
    </row>
    <row r="477">
      <c r="A477" t="inlineStr">
        <is>
          <t>base</t>
        </is>
      </c>
      <c r="B477" t="n">
        <v>2031</v>
      </c>
      <c r="C477" t="inlineStr">
        <is>
          <t>regenerative_gmp</t>
        </is>
      </c>
      <c r="D477" t="inlineStr">
        <is>
          <t>EU</t>
        </is>
      </c>
      <c r="E477" t="n">
        <v>154690</v>
      </c>
      <c r="F477" t="n">
        <v>154690</v>
      </c>
      <c r="G477" t="n">
        <v>1.4871</v>
      </c>
      <c r="H477" t="n">
        <v>0.765166</v>
      </c>
      <c r="I477">
        <f>F477*H477</f>
        <v/>
      </c>
      <c r="J477">
        <f>G477*H477</f>
        <v/>
      </c>
    </row>
    <row r="478">
      <c r="A478" t="inlineStr">
        <is>
          <t>base</t>
        </is>
      </c>
      <c r="B478" t="n">
        <v>2031</v>
      </c>
      <c r="C478" t="inlineStr">
        <is>
          <t>regenerative_gmp</t>
        </is>
      </c>
      <c r="D478" t="inlineStr">
        <is>
          <t>China</t>
        </is>
      </c>
      <c r="E478" t="n">
        <v>34148</v>
      </c>
      <c r="F478" t="n">
        <v>34148</v>
      </c>
      <c r="G478" t="n">
        <v>0.7435</v>
      </c>
      <c r="H478" t="n">
        <v>0.765166</v>
      </c>
      <c r="I478">
        <f>F478*H478</f>
        <v/>
      </c>
      <c r="J478">
        <f>G478*H478</f>
        <v/>
      </c>
    </row>
    <row r="479">
      <c r="A479" t="inlineStr">
        <is>
          <t>base</t>
        </is>
      </c>
      <c r="B479" t="n">
        <v>2031</v>
      </c>
      <c r="C479" t="inlineStr">
        <is>
          <t>regenerative_gmp</t>
        </is>
      </c>
      <c r="D479" t="inlineStr">
        <is>
          <t>Japan</t>
        </is>
      </c>
      <c r="E479" t="n">
        <v>293912</v>
      </c>
      <c r="F479" t="n">
        <v>293912</v>
      </c>
      <c r="G479" t="n">
        <v>2.9741</v>
      </c>
      <c r="H479" t="n">
        <v>0.765166</v>
      </c>
      <c r="I479">
        <f>F479*H479</f>
        <v/>
      </c>
      <c r="J479">
        <f>G479*H479</f>
        <v/>
      </c>
    </row>
    <row r="480">
      <c r="A480" t="inlineStr">
        <is>
          <t>base</t>
        </is>
      </c>
      <c r="B480" t="n">
        <v>2031</v>
      </c>
      <c r="C480" t="inlineStr">
        <is>
          <t>regenerative_gmp</t>
        </is>
      </c>
      <c r="D480" t="inlineStr">
        <is>
          <t>Korea</t>
        </is>
      </c>
      <c r="E480" t="n">
        <v>34805</v>
      </c>
      <c r="F480" t="n">
        <v>34805</v>
      </c>
      <c r="G480" t="n">
        <v>0.3718</v>
      </c>
      <c r="H480" t="n">
        <v>0.765166</v>
      </c>
      <c r="I480">
        <f>F480*H480</f>
        <v/>
      </c>
      <c r="J480">
        <f>G480*H480</f>
        <v/>
      </c>
    </row>
    <row r="481">
      <c r="A481" t="inlineStr">
        <is>
          <t>base</t>
        </is>
      </c>
      <c r="B481" t="n">
        <v>2031</v>
      </c>
      <c r="C481" t="inlineStr">
        <is>
          <t>regenerative_gmp</t>
        </is>
      </c>
      <c r="D481" t="inlineStr">
        <is>
          <t>RoW</t>
        </is>
      </c>
      <c r="E481" t="n">
        <v>0</v>
      </c>
      <c r="F481" t="n">
        <v>0</v>
      </c>
      <c r="G481" t="n">
        <v>0</v>
      </c>
      <c r="H481" t="n">
        <v>0.765166</v>
      </c>
      <c r="I481">
        <f>F481*H481</f>
        <v/>
      </c>
      <c r="J481">
        <f>G481*H481</f>
        <v/>
      </c>
    </row>
    <row r="482">
      <c r="A482" t="inlineStr">
        <is>
          <t>base</t>
        </is>
      </c>
      <c r="B482" t="n">
        <v>2032</v>
      </c>
      <c r="C482" t="inlineStr">
        <is>
          <t>academic_ruo</t>
        </is>
      </c>
      <c r="D482" t="inlineStr">
        <is>
          <t>US</t>
        </is>
      </c>
      <c r="E482" t="n">
        <v>9710992</v>
      </c>
      <c r="F482" t="n">
        <v>5923705</v>
      </c>
      <c r="G482" t="n">
        <v>141.4502</v>
      </c>
      <c r="H482" t="n">
        <v>0.138679</v>
      </c>
      <c r="I482">
        <f>F482*H482</f>
        <v/>
      </c>
      <c r="J482">
        <f>G482*H482</f>
        <v/>
      </c>
    </row>
    <row r="483">
      <c r="A483" t="inlineStr">
        <is>
          <t>base</t>
        </is>
      </c>
      <c r="B483" t="n">
        <v>2032</v>
      </c>
      <c r="C483" t="inlineStr">
        <is>
          <t>academic_ruo</t>
        </is>
      </c>
      <c r="D483" t="inlineStr">
        <is>
          <t>EU</t>
        </is>
      </c>
      <c r="E483" t="n">
        <v>10707885</v>
      </c>
      <c r="F483" t="n">
        <v>6531810</v>
      </c>
      <c r="G483" t="n">
        <v>155.971</v>
      </c>
      <c r="H483" t="n">
        <v>0.138679</v>
      </c>
      <c r="I483">
        <f>F483*H483</f>
        <v/>
      </c>
      <c r="J483">
        <f>G483*H483</f>
        <v/>
      </c>
    </row>
    <row r="484">
      <c r="A484" t="inlineStr">
        <is>
          <t>base</t>
        </is>
      </c>
      <c r="B484" t="n">
        <v>2032</v>
      </c>
      <c r="C484" t="inlineStr">
        <is>
          <t>academic_ruo</t>
        </is>
      </c>
      <c r="D484" t="inlineStr">
        <is>
          <t>China</t>
        </is>
      </c>
      <c r="E484" t="n">
        <v>6124862</v>
      </c>
      <c r="F484" t="n">
        <v>3736166</v>
      </c>
      <c r="G484" t="n">
        <v>202.0717</v>
      </c>
      <c r="H484" t="n">
        <v>0.138679</v>
      </c>
      <c r="I484">
        <f>F484*H484</f>
        <v/>
      </c>
      <c r="J484">
        <f>G484*H484</f>
        <v/>
      </c>
    </row>
    <row r="485">
      <c r="A485" t="inlineStr">
        <is>
          <t>base</t>
        </is>
      </c>
      <c r="B485" t="n">
        <v>2032</v>
      </c>
      <c r="C485" t="inlineStr">
        <is>
          <t>academic_ruo</t>
        </is>
      </c>
      <c r="D485" t="inlineStr">
        <is>
          <t>Japan</t>
        </is>
      </c>
      <c r="E485" t="n">
        <v>2125892</v>
      </c>
      <c r="F485" t="n">
        <v>1296794</v>
      </c>
      <c r="G485" t="n">
        <v>32.5955</v>
      </c>
      <c r="H485" t="n">
        <v>0.138679</v>
      </c>
      <c r="I485">
        <f>F485*H485</f>
        <v/>
      </c>
      <c r="J485">
        <f>G485*H485</f>
        <v/>
      </c>
    </row>
    <row r="486">
      <c r="A486" t="inlineStr">
        <is>
          <t>base</t>
        </is>
      </c>
      <c r="B486" t="n">
        <v>2032</v>
      </c>
      <c r="C486" t="inlineStr">
        <is>
          <t>academic_ruo</t>
        </is>
      </c>
      <c r="D486" t="inlineStr">
        <is>
          <t>Korea</t>
        </is>
      </c>
      <c r="E486" t="n">
        <v>1806956</v>
      </c>
      <c r="F486" t="n">
        <v>1102243</v>
      </c>
      <c r="G486" t="n">
        <v>29.2446</v>
      </c>
      <c r="H486" t="n">
        <v>0.138679</v>
      </c>
      <c r="I486">
        <f>F486*H486</f>
        <v/>
      </c>
      <c r="J486">
        <f>G486*H486</f>
        <v/>
      </c>
    </row>
    <row r="487">
      <c r="A487" t="inlineStr">
        <is>
          <t>base</t>
        </is>
      </c>
      <c r="B487" t="n">
        <v>2032</v>
      </c>
      <c r="C487" t="inlineStr">
        <is>
          <t>academic_ruo</t>
        </is>
      </c>
      <c r="D487" t="inlineStr">
        <is>
          <t>RoW</t>
        </is>
      </c>
      <c r="E487" t="n">
        <v>6491655</v>
      </c>
      <c r="F487" t="n">
        <v>3959910</v>
      </c>
      <c r="G487" t="n">
        <v>118.1967</v>
      </c>
      <c r="H487" t="n">
        <v>0.138679</v>
      </c>
      <c r="I487">
        <f>F487*H487</f>
        <v/>
      </c>
      <c r="J487">
        <f>G487*H487</f>
        <v/>
      </c>
    </row>
    <row r="488">
      <c r="A488" t="inlineStr">
        <is>
          <t>base</t>
        </is>
      </c>
      <c r="B488" t="n">
        <v>2032</v>
      </c>
      <c r="C488" t="inlineStr">
        <is>
          <t>pharma_preclinical_nam</t>
        </is>
      </c>
      <c r="D488" t="inlineStr">
        <is>
          <t>US</t>
        </is>
      </c>
      <c r="E488" t="n">
        <v>23571488</v>
      </c>
      <c r="F488" t="n">
        <v>12964318</v>
      </c>
      <c r="G488" t="n">
        <v>364.2008</v>
      </c>
      <c r="H488" t="n">
        <v>0.225422</v>
      </c>
      <c r="I488">
        <f>F488*H488</f>
        <v/>
      </c>
      <c r="J488">
        <f>G488*H488</f>
        <v/>
      </c>
    </row>
    <row r="489">
      <c r="A489" t="inlineStr">
        <is>
          <t>base</t>
        </is>
      </c>
      <c r="B489" t="n">
        <v>2032</v>
      </c>
      <c r="C489" t="inlineStr">
        <is>
          <t>pharma_preclinical_nam</t>
        </is>
      </c>
      <c r="D489" t="inlineStr">
        <is>
          <t>EU</t>
        </is>
      </c>
      <c r="E489" t="n">
        <v>13095271</v>
      </c>
      <c r="F489" t="n">
        <v>7202399</v>
      </c>
      <c r="G489" t="n">
        <v>202.3338</v>
      </c>
      <c r="H489" t="n">
        <v>0.225422</v>
      </c>
      <c r="I489">
        <f>F489*H489</f>
        <v/>
      </c>
      <c r="J489">
        <f>G489*H489</f>
        <v/>
      </c>
    </row>
    <row r="490">
      <c r="A490" t="inlineStr">
        <is>
          <t>base</t>
        </is>
      </c>
      <c r="B490" t="n">
        <v>2032</v>
      </c>
      <c r="C490" t="inlineStr">
        <is>
          <t>pharma_preclinical_nam</t>
        </is>
      </c>
      <c r="D490" t="inlineStr">
        <is>
          <t>China</t>
        </is>
      </c>
      <c r="E490" t="n">
        <v>3468937</v>
      </c>
      <c r="F490" t="n">
        <v>1907916</v>
      </c>
      <c r="G490" t="n">
        <v>121.4003</v>
      </c>
      <c r="H490" t="n">
        <v>0.225422</v>
      </c>
      <c r="I490">
        <f>F490*H490</f>
        <v/>
      </c>
      <c r="J490">
        <f>G490*H490</f>
        <v/>
      </c>
    </row>
    <row r="491">
      <c r="A491" t="inlineStr">
        <is>
          <t>base</t>
        </is>
      </c>
      <c r="B491" t="n">
        <v>2032</v>
      </c>
      <c r="C491" t="inlineStr">
        <is>
          <t>pharma_preclinical_nam</t>
        </is>
      </c>
      <c r="D491" t="inlineStr">
        <is>
          <t>Japan</t>
        </is>
      </c>
      <c r="E491" t="n">
        <v>3483342</v>
      </c>
      <c r="F491" t="n">
        <v>1915838</v>
      </c>
      <c r="G491" t="n">
        <v>56.6535</v>
      </c>
      <c r="H491" t="n">
        <v>0.225422</v>
      </c>
      <c r="I491">
        <f>F491*H491</f>
        <v/>
      </c>
      <c r="J491">
        <f>G491*H491</f>
        <v/>
      </c>
    </row>
    <row r="492">
      <c r="A492" t="inlineStr">
        <is>
          <t>base</t>
        </is>
      </c>
      <c r="B492" t="n">
        <v>2032</v>
      </c>
      <c r="C492" t="inlineStr">
        <is>
          <t>pharma_preclinical_nam</t>
        </is>
      </c>
      <c r="D492" t="inlineStr">
        <is>
          <t>Korea</t>
        </is>
      </c>
      <c r="E492" t="n">
        <v>1414289</v>
      </c>
      <c r="F492" t="n">
        <v>777859</v>
      </c>
      <c r="G492" t="n">
        <v>24.2801</v>
      </c>
      <c r="H492" t="n">
        <v>0.225422</v>
      </c>
      <c r="I492">
        <f>F492*H492</f>
        <v/>
      </c>
      <c r="J492">
        <f>G492*H492</f>
        <v/>
      </c>
    </row>
    <row r="493">
      <c r="A493" t="inlineStr">
        <is>
          <t>base</t>
        </is>
      </c>
      <c r="B493" t="n">
        <v>2032</v>
      </c>
      <c r="C493" t="inlineStr">
        <is>
          <t>pharma_preclinical_nam</t>
        </is>
      </c>
      <c r="D493" t="inlineStr">
        <is>
          <t>RoW</t>
        </is>
      </c>
      <c r="E493" t="n">
        <v>2095243</v>
      </c>
      <c r="F493" t="n">
        <v>1152384</v>
      </c>
      <c r="G493" t="n">
        <v>40.4668</v>
      </c>
      <c r="H493" t="n">
        <v>0.225422</v>
      </c>
      <c r="I493">
        <f>F493*H493</f>
        <v/>
      </c>
      <c r="J493">
        <f>G493*H493</f>
        <v/>
      </c>
    </row>
    <row r="494">
      <c r="A494" t="inlineStr">
        <is>
          <t>base</t>
        </is>
      </c>
      <c r="B494" t="n">
        <v>2032</v>
      </c>
      <c r="C494" t="inlineStr">
        <is>
          <t>organoid_cro_biobank</t>
        </is>
      </c>
      <c r="D494" t="inlineStr">
        <is>
          <t>US</t>
        </is>
      </c>
      <c r="E494" t="n">
        <v>7264941</v>
      </c>
      <c r="F494" t="n">
        <v>3632471</v>
      </c>
      <c r="G494" t="n">
        <v>115.6514</v>
      </c>
      <c r="H494" t="n">
        <v>0.03877</v>
      </c>
      <c r="I494">
        <f>F494*H494</f>
        <v/>
      </c>
      <c r="J494">
        <f>G494*H494</f>
        <v/>
      </c>
    </row>
    <row r="495">
      <c r="A495" t="inlineStr">
        <is>
          <t>base</t>
        </is>
      </c>
      <c r="B495" t="n">
        <v>2032</v>
      </c>
      <c r="C495" t="inlineStr">
        <is>
          <t>organoid_cro_biobank</t>
        </is>
      </c>
      <c r="D495" t="inlineStr">
        <is>
          <t>EU</t>
        </is>
      </c>
      <c r="E495" t="n">
        <v>3632471</v>
      </c>
      <c r="F495" t="n">
        <v>1816235</v>
      </c>
      <c r="G495" t="n">
        <v>57.8257</v>
      </c>
      <c r="H495" t="n">
        <v>0.03877</v>
      </c>
      <c r="I495">
        <f>F495*H495</f>
        <v/>
      </c>
      <c r="J495">
        <f>G495*H495</f>
        <v/>
      </c>
    </row>
    <row r="496">
      <c r="A496" t="inlineStr">
        <is>
          <t>base</t>
        </is>
      </c>
      <c r="B496" t="n">
        <v>2032</v>
      </c>
      <c r="C496" t="inlineStr">
        <is>
          <t>organoid_cro_biobank</t>
        </is>
      </c>
      <c r="D496" t="inlineStr">
        <is>
          <t>China</t>
        </is>
      </c>
      <c r="E496" t="n">
        <v>1764109</v>
      </c>
      <c r="F496" t="n">
        <v>882055</v>
      </c>
      <c r="G496" t="n">
        <v>63.6083</v>
      </c>
      <c r="H496" t="n">
        <v>0.03877</v>
      </c>
      <c r="I496">
        <f>F496*H496</f>
        <v/>
      </c>
      <c r="J496">
        <f>G496*H496</f>
        <v/>
      </c>
    </row>
    <row r="497">
      <c r="A497" t="inlineStr">
        <is>
          <t>base</t>
        </is>
      </c>
      <c r="B497" t="n">
        <v>2032</v>
      </c>
      <c r="C497" t="inlineStr">
        <is>
          <t>organoid_cro_biobank</t>
        </is>
      </c>
      <c r="D497" t="inlineStr">
        <is>
          <t>Japan</t>
        </is>
      </c>
      <c r="E497" t="n">
        <v>1035254</v>
      </c>
      <c r="F497" t="n">
        <v>517627</v>
      </c>
      <c r="G497" t="n">
        <v>17.3477</v>
      </c>
      <c r="H497" t="n">
        <v>0.03877</v>
      </c>
      <c r="I497">
        <f>F497*H497</f>
        <v/>
      </c>
      <c r="J497">
        <f>G497*H497</f>
        <v/>
      </c>
    </row>
    <row r="498">
      <c r="A498" t="inlineStr">
        <is>
          <t>base</t>
        </is>
      </c>
      <c r="B498" t="n">
        <v>2032</v>
      </c>
      <c r="C498" t="inlineStr">
        <is>
          <t>organoid_cro_biobank</t>
        </is>
      </c>
      <c r="D498" t="inlineStr">
        <is>
          <t>Korea</t>
        </is>
      </c>
      <c r="E498" t="n">
        <v>817306</v>
      </c>
      <c r="F498" t="n">
        <v>408653</v>
      </c>
      <c r="G498" t="n">
        <v>14.4564</v>
      </c>
      <c r="H498" t="n">
        <v>0.03877</v>
      </c>
      <c r="I498">
        <f>F498*H498</f>
        <v/>
      </c>
      <c r="J498">
        <f>G498*H498</f>
        <v/>
      </c>
    </row>
    <row r="499">
      <c r="A499" t="inlineStr">
        <is>
          <t>base</t>
        </is>
      </c>
      <c r="B499" t="n">
        <v>2032</v>
      </c>
      <c r="C499" t="inlineStr">
        <is>
          <t>organoid_cro_biobank</t>
        </is>
      </c>
      <c r="D499" t="inlineStr">
        <is>
          <t>RoW</t>
        </is>
      </c>
      <c r="E499" t="n">
        <v>1017092</v>
      </c>
      <c r="F499" t="n">
        <v>508546</v>
      </c>
      <c r="G499" t="n">
        <v>20.239</v>
      </c>
      <c r="H499" t="n">
        <v>0.03877</v>
      </c>
      <c r="I499">
        <f>F499*H499</f>
        <v/>
      </c>
      <c r="J499">
        <f>G499*H499</f>
        <v/>
      </c>
    </row>
    <row r="500">
      <c r="A500" t="inlineStr">
        <is>
          <t>base</t>
        </is>
      </c>
      <c r="B500" t="n">
        <v>2032</v>
      </c>
      <c r="C500" t="inlineStr">
        <is>
          <t>clinical_dx_pdo</t>
        </is>
      </c>
      <c r="D500" t="inlineStr">
        <is>
          <t>US</t>
        </is>
      </c>
      <c r="E500" t="n">
        <v>1150224</v>
      </c>
      <c r="F500" t="n">
        <v>517601</v>
      </c>
      <c r="G500" t="n">
        <v>12.3596</v>
      </c>
      <c r="H500" t="n">
        <v>0.050569</v>
      </c>
      <c r="I500">
        <f>F500*H500</f>
        <v/>
      </c>
      <c r="J500">
        <f>G500*H500</f>
        <v/>
      </c>
    </row>
    <row r="501">
      <c r="A501" t="inlineStr">
        <is>
          <t>base</t>
        </is>
      </c>
      <c r="B501" t="n">
        <v>2032</v>
      </c>
      <c r="C501" t="inlineStr">
        <is>
          <t>clinical_dx_pdo</t>
        </is>
      </c>
      <c r="D501" t="inlineStr">
        <is>
          <t>EU</t>
        </is>
      </c>
      <c r="E501" t="n">
        <v>690134</v>
      </c>
      <c r="F501" t="n">
        <v>310560</v>
      </c>
      <c r="G501" t="n">
        <v>7.4158</v>
      </c>
      <c r="H501" t="n">
        <v>0.050569</v>
      </c>
      <c r="I501">
        <f>F501*H501</f>
        <v/>
      </c>
      <c r="J501">
        <f>G501*H501</f>
        <v/>
      </c>
    </row>
    <row r="502">
      <c r="A502" t="inlineStr">
        <is>
          <t>base</t>
        </is>
      </c>
      <c r="B502" t="n">
        <v>2032</v>
      </c>
      <c r="C502" t="inlineStr">
        <is>
          <t>clinical_dx_pdo</t>
        </is>
      </c>
      <c r="D502" t="inlineStr">
        <is>
          <t>China</t>
        </is>
      </c>
      <c r="E502" t="n">
        <v>914083</v>
      </c>
      <c r="F502" t="n">
        <v>411337</v>
      </c>
      <c r="G502" t="n">
        <v>22.2473</v>
      </c>
      <c r="H502" t="n">
        <v>0.050569</v>
      </c>
      <c r="I502">
        <f>F502*H502</f>
        <v/>
      </c>
      <c r="J502">
        <f>G502*H502</f>
        <v/>
      </c>
    </row>
    <row r="503">
      <c r="A503" t="inlineStr">
        <is>
          <t>base</t>
        </is>
      </c>
      <c r="B503" t="n">
        <v>2032</v>
      </c>
      <c r="C503" t="inlineStr">
        <is>
          <t>clinical_dx_pdo</t>
        </is>
      </c>
      <c r="D503" t="inlineStr">
        <is>
          <t>Japan</t>
        </is>
      </c>
      <c r="E503" t="n">
        <v>262251</v>
      </c>
      <c r="F503" t="n">
        <v>118013</v>
      </c>
      <c r="G503" t="n">
        <v>2.9663</v>
      </c>
      <c r="H503" t="n">
        <v>0.050569</v>
      </c>
      <c r="I503">
        <f>F503*H503</f>
        <v/>
      </c>
      <c r="J503">
        <f>G503*H503</f>
        <v/>
      </c>
    </row>
    <row r="504">
      <c r="A504" t="inlineStr">
        <is>
          <t>base</t>
        </is>
      </c>
      <c r="B504" t="n">
        <v>2032</v>
      </c>
      <c r="C504" t="inlineStr">
        <is>
          <t>clinical_dx_pdo</t>
        </is>
      </c>
      <c r="D504" t="inlineStr">
        <is>
          <t>Korea</t>
        </is>
      </c>
      <c r="E504" t="n">
        <v>207040</v>
      </c>
      <c r="F504" t="n">
        <v>93168</v>
      </c>
      <c r="G504" t="n">
        <v>2.4719</v>
      </c>
      <c r="H504" t="n">
        <v>0.050569</v>
      </c>
      <c r="I504">
        <f>F504*H504</f>
        <v/>
      </c>
      <c r="J504">
        <f>G504*H504</f>
        <v/>
      </c>
    </row>
    <row r="505">
      <c r="A505" t="inlineStr">
        <is>
          <t>base</t>
        </is>
      </c>
      <c r="B505" t="n">
        <v>2032</v>
      </c>
      <c r="C505" t="inlineStr">
        <is>
          <t>clinical_dx_pdo</t>
        </is>
      </c>
      <c r="D505" t="inlineStr">
        <is>
          <t>RoW</t>
        </is>
      </c>
      <c r="E505" t="n">
        <v>147229</v>
      </c>
      <c r="F505" t="n">
        <v>66253</v>
      </c>
      <c r="G505" t="n">
        <v>1.9775</v>
      </c>
      <c r="H505" t="n">
        <v>0.050569</v>
      </c>
      <c r="I505">
        <f>F505*H505</f>
        <v/>
      </c>
      <c r="J505">
        <f>G505*H505</f>
        <v/>
      </c>
    </row>
    <row r="506">
      <c r="A506" t="inlineStr">
        <is>
          <t>base</t>
        </is>
      </c>
      <c r="B506" t="n">
        <v>2032</v>
      </c>
      <c r="C506" t="inlineStr">
        <is>
          <t>regenerative_gmp</t>
        </is>
      </c>
      <c r="D506" t="inlineStr">
        <is>
          <t>US</t>
        </is>
      </c>
      <c r="E506" t="n">
        <v>274769</v>
      </c>
      <c r="F506" t="n">
        <v>274769</v>
      </c>
      <c r="G506" t="n">
        <v>2.6953</v>
      </c>
      <c r="H506" t="n">
        <v>0.837151</v>
      </c>
      <c r="I506">
        <f>F506*H506</f>
        <v/>
      </c>
      <c r="J506">
        <f>G506*H506</f>
        <v/>
      </c>
    </row>
    <row r="507">
      <c r="A507" t="inlineStr">
        <is>
          <t>base</t>
        </is>
      </c>
      <c r="B507" t="n">
        <v>2032</v>
      </c>
      <c r="C507" t="inlineStr">
        <is>
          <t>regenerative_gmp</t>
        </is>
      </c>
      <c r="D507" t="inlineStr">
        <is>
          <t>EU</t>
        </is>
      </c>
      <c r="E507" t="n">
        <v>219815</v>
      </c>
      <c r="F507" t="n">
        <v>219815</v>
      </c>
      <c r="G507" t="n">
        <v>2.1562</v>
      </c>
      <c r="H507" t="n">
        <v>0.837151</v>
      </c>
      <c r="I507">
        <f>F507*H507</f>
        <v/>
      </c>
      <c r="J507">
        <f>G507*H507</f>
        <v/>
      </c>
    </row>
    <row r="508">
      <c r="A508" t="inlineStr">
        <is>
          <t>base</t>
        </is>
      </c>
      <c r="B508" t="n">
        <v>2032</v>
      </c>
      <c r="C508" t="inlineStr">
        <is>
          <t>regenerative_gmp</t>
        </is>
      </c>
      <c r="D508" t="inlineStr">
        <is>
          <t>China</t>
        </is>
      </c>
      <c r="E508" t="n">
        <v>48524</v>
      </c>
      <c r="F508" t="n">
        <v>48524</v>
      </c>
      <c r="G508" t="n">
        <v>1.0781</v>
      </c>
      <c r="H508" t="n">
        <v>0.837151</v>
      </c>
      <c r="I508">
        <f>F508*H508</f>
        <v/>
      </c>
      <c r="J508">
        <f>G508*H508</f>
        <v/>
      </c>
    </row>
    <row r="509">
      <c r="A509" t="inlineStr">
        <is>
          <t>base</t>
        </is>
      </c>
      <c r="B509" t="n">
        <v>2032</v>
      </c>
      <c r="C509" t="inlineStr">
        <is>
          <t>regenerative_gmp</t>
        </is>
      </c>
      <c r="D509" t="inlineStr">
        <is>
          <t>Japan</t>
        </is>
      </c>
      <c r="E509" t="n">
        <v>417649</v>
      </c>
      <c r="F509" t="n">
        <v>417649</v>
      </c>
      <c r="G509" t="n">
        <v>4.3125</v>
      </c>
      <c r="H509" t="n">
        <v>0.837151</v>
      </c>
      <c r="I509">
        <f>F509*H509</f>
        <v/>
      </c>
      <c r="J509">
        <f>G509*H509</f>
        <v/>
      </c>
    </row>
    <row r="510">
      <c r="A510" t="inlineStr">
        <is>
          <t>base</t>
        </is>
      </c>
      <c r="B510" t="n">
        <v>2032</v>
      </c>
      <c r="C510" t="inlineStr">
        <is>
          <t>regenerative_gmp</t>
        </is>
      </c>
      <c r="D510" t="inlineStr">
        <is>
          <t>Korea</t>
        </is>
      </c>
      <c r="E510" t="n">
        <v>49458</v>
      </c>
      <c r="F510" t="n">
        <v>49458</v>
      </c>
      <c r="G510" t="n">
        <v>0.5391</v>
      </c>
      <c r="H510" t="n">
        <v>0.837151</v>
      </c>
      <c r="I510">
        <f>F510*H510</f>
        <v/>
      </c>
      <c r="J510">
        <f>G510*H510</f>
        <v/>
      </c>
    </row>
    <row r="511">
      <c r="A511" t="inlineStr">
        <is>
          <t>base</t>
        </is>
      </c>
      <c r="B511" t="n">
        <v>2032</v>
      </c>
      <c r="C511" t="inlineStr">
        <is>
          <t>regenerative_gmp</t>
        </is>
      </c>
      <c r="D511" t="inlineStr">
        <is>
          <t>RoW</t>
        </is>
      </c>
      <c r="E511" t="n">
        <v>0</v>
      </c>
      <c r="F511" t="n">
        <v>0</v>
      </c>
      <c r="G511" t="n">
        <v>0</v>
      </c>
      <c r="H511" t="n">
        <v>0.837151</v>
      </c>
      <c r="I511">
        <f>F511*H511</f>
        <v/>
      </c>
      <c r="J511">
        <f>G511*H511</f>
        <v/>
      </c>
    </row>
    <row r="512">
      <c r="A512" t="inlineStr">
        <is>
          <t>base</t>
        </is>
      </c>
      <c r="B512" t="n">
        <v>2033</v>
      </c>
      <c r="C512" t="inlineStr">
        <is>
          <t>academic_ruo</t>
        </is>
      </c>
      <c r="D512" t="inlineStr">
        <is>
          <t>US</t>
        </is>
      </c>
      <c r="E512" t="n">
        <v>9945027</v>
      </c>
      <c r="F512" t="n">
        <v>6066467</v>
      </c>
      <c r="G512" t="n">
        <v>147.8155</v>
      </c>
      <c r="H512" t="n">
        <v>0.167148</v>
      </c>
      <c r="I512">
        <f>F512*H512</f>
        <v/>
      </c>
      <c r="J512">
        <f>G512*H512</f>
        <v/>
      </c>
    </row>
    <row r="513">
      <c r="A513" t="inlineStr">
        <is>
          <t>base</t>
        </is>
      </c>
      <c r="B513" t="n">
        <v>2033</v>
      </c>
      <c r="C513" t="inlineStr">
        <is>
          <t>academic_ruo</t>
        </is>
      </c>
      <c r="D513" t="inlineStr">
        <is>
          <t>EU</t>
        </is>
      </c>
      <c r="E513" t="n">
        <v>10965945</v>
      </c>
      <c r="F513" t="n">
        <v>6689227</v>
      </c>
      <c r="G513" t="n">
        <v>162.9896</v>
      </c>
      <c r="H513" t="n">
        <v>0.167148</v>
      </c>
      <c r="I513">
        <f>F513*H513</f>
        <v/>
      </c>
      <c r="J513">
        <f>G513*H513</f>
        <v/>
      </c>
    </row>
    <row r="514">
      <c r="A514" t="inlineStr">
        <is>
          <t>base</t>
        </is>
      </c>
      <c r="B514" t="n">
        <v>2033</v>
      </c>
      <c r="C514" t="inlineStr">
        <is>
          <t>academic_ruo</t>
        </is>
      </c>
      <c r="D514" t="inlineStr">
        <is>
          <t>China</t>
        </is>
      </c>
      <c r="E514" t="n">
        <v>6272471</v>
      </c>
      <c r="F514" t="n">
        <v>3826207</v>
      </c>
      <c r="G514" t="n">
        <v>211.165</v>
      </c>
      <c r="H514" t="n">
        <v>0.167148</v>
      </c>
      <c r="I514">
        <f>F514*H514</f>
        <v/>
      </c>
      <c r="J514">
        <f>G514*H514</f>
        <v/>
      </c>
    </row>
    <row r="515">
      <c r="A515" t="inlineStr">
        <is>
          <t>base</t>
        </is>
      </c>
      <c r="B515" t="n">
        <v>2033</v>
      </c>
      <c r="C515" t="inlineStr">
        <is>
          <t>academic_ruo</t>
        </is>
      </c>
      <c r="D515" t="inlineStr">
        <is>
          <t>Japan</t>
        </is>
      </c>
      <c r="E515" t="n">
        <v>2177126</v>
      </c>
      <c r="F515" t="n">
        <v>1328047</v>
      </c>
      <c r="G515" t="n">
        <v>34.0623</v>
      </c>
      <c r="H515" t="n">
        <v>0.167148</v>
      </c>
      <c r="I515">
        <f>F515*H515</f>
        <v/>
      </c>
      <c r="J515">
        <f>G515*H515</f>
        <v/>
      </c>
    </row>
    <row r="516">
      <c r="A516" t="inlineStr">
        <is>
          <t>base</t>
        </is>
      </c>
      <c r="B516" t="n">
        <v>2033</v>
      </c>
      <c r="C516" t="inlineStr">
        <is>
          <t>academic_ruo</t>
        </is>
      </c>
      <c r="D516" t="inlineStr">
        <is>
          <t>Korea</t>
        </is>
      </c>
      <c r="E516" t="n">
        <v>1850503</v>
      </c>
      <c r="F516" t="n">
        <v>1128807</v>
      </c>
      <c r="G516" t="n">
        <v>30.5606</v>
      </c>
      <c r="H516" t="n">
        <v>0.167148</v>
      </c>
      <c r="I516">
        <f>F516*H516</f>
        <v/>
      </c>
      <c r="J516">
        <f>G516*H516</f>
        <v/>
      </c>
    </row>
    <row r="517">
      <c r="A517" t="inlineStr">
        <is>
          <t>base</t>
        </is>
      </c>
      <c r="B517" t="n">
        <v>2033</v>
      </c>
      <c r="C517" t="inlineStr">
        <is>
          <t>academic_ruo</t>
        </is>
      </c>
      <c r="D517" t="inlineStr">
        <is>
          <t>RoW</t>
        </is>
      </c>
      <c r="E517" t="n">
        <v>6648104</v>
      </c>
      <c r="F517" t="n">
        <v>4055344</v>
      </c>
      <c r="G517" t="n">
        <v>123.5156</v>
      </c>
      <c r="H517" t="n">
        <v>0.167148</v>
      </c>
      <c r="I517">
        <f>F517*H517</f>
        <v/>
      </c>
      <c r="J517">
        <f>G517*H517</f>
        <v/>
      </c>
    </row>
    <row r="518">
      <c r="A518" t="inlineStr">
        <is>
          <t>base</t>
        </is>
      </c>
      <c r="B518" t="n">
        <v>2033</v>
      </c>
      <c r="C518" t="inlineStr">
        <is>
          <t>pharma_preclinical_nam</t>
        </is>
      </c>
      <c r="D518" t="inlineStr">
        <is>
          <t>US</t>
        </is>
      </c>
      <c r="E518" t="n">
        <v>26371426</v>
      </c>
      <c r="F518" t="n">
        <v>14504284</v>
      </c>
      <c r="G518" t="n">
        <v>415.778</v>
      </c>
      <c r="H518" t="n">
        <v>0.270782</v>
      </c>
      <c r="I518">
        <f>F518*H518</f>
        <v/>
      </c>
      <c r="J518">
        <f>G518*H518</f>
        <v/>
      </c>
    </row>
    <row r="519">
      <c r="A519" t="inlineStr">
        <is>
          <t>base</t>
        </is>
      </c>
      <c r="B519" t="n">
        <v>2033</v>
      </c>
      <c r="C519" t="inlineStr">
        <is>
          <t>pharma_preclinical_nam</t>
        </is>
      </c>
      <c r="D519" t="inlineStr">
        <is>
          <t>EU</t>
        </is>
      </c>
      <c r="E519" t="n">
        <v>14650792</v>
      </c>
      <c r="F519" t="n">
        <v>8057936</v>
      </c>
      <c r="G519" t="n">
        <v>230.9878</v>
      </c>
      <c r="H519" t="n">
        <v>0.270782</v>
      </c>
      <c r="I519">
        <f>F519*H519</f>
        <v/>
      </c>
      <c r="J519">
        <f>G519*H519</f>
        <v/>
      </c>
    </row>
    <row r="520">
      <c r="A520" t="inlineStr">
        <is>
          <t>base</t>
        </is>
      </c>
      <c r="B520" t="n">
        <v>2033</v>
      </c>
      <c r="C520" t="inlineStr">
        <is>
          <t>pharma_preclinical_nam</t>
        </is>
      </c>
      <c r="D520" t="inlineStr">
        <is>
          <t>China</t>
        </is>
      </c>
      <c r="E520" t="n">
        <v>3880995</v>
      </c>
      <c r="F520" t="n">
        <v>2134547</v>
      </c>
      <c r="G520" t="n">
        <v>138.5927</v>
      </c>
      <c r="H520" t="n">
        <v>0.270782</v>
      </c>
      <c r="I520">
        <f>F520*H520</f>
        <v/>
      </c>
      <c r="J520">
        <f>G520*H520</f>
        <v/>
      </c>
    </row>
    <row r="521">
      <c r="A521" t="inlineStr">
        <is>
          <t>base</t>
        </is>
      </c>
      <c r="B521" t="n">
        <v>2033</v>
      </c>
      <c r="C521" t="inlineStr">
        <is>
          <t>pharma_preclinical_nam</t>
        </is>
      </c>
      <c r="D521" t="inlineStr">
        <is>
          <t>Japan</t>
        </is>
      </c>
      <c r="E521" t="n">
        <v>3897111</v>
      </c>
      <c r="F521" t="n">
        <v>2143411</v>
      </c>
      <c r="G521" t="n">
        <v>64.67659999999999</v>
      </c>
      <c r="H521" t="n">
        <v>0.270782</v>
      </c>
      <c r="I521">
        <f>F521*H521</f>
        <v/>
      </c>
      <c r="J521">
        <f>G521*H521</f>
        <v/>
      </c>
    </row>
    <row r="522">
      <c r="A522" t="inlineStr">
        <is>
          <t>base</t>
        </is>
      </c>
      <c r="B522" t="n">
        <v>2033</v>
      </c>
      <c r="C522" t="inlineStr">
        <is>
          <t>pharma_preclinical_nam</t>
        </is>
      </c>
      <c r="D522" t="inlineStr">
        <is>
          <t>Korea</t>
        </is>
      </c>
      <c r="E522" t="n">
        <v>1582286</v>
      </c>
      <c r="F522" t="n">
        <v>870257</v>
      </c>
      <c r="G522" t="n">
        <v>27.7185</v>
      </c>
      <c r="H522" t="n">
        <v>0.270782</v>
      </c>
      <c r="I522">
        <f>F522*H522</f>
        <v/>
      </c>
      <c r="J522">
        <f>G522*H522</f>
        <v/>
      </c>
    </row>
    <row r="523">
      <c r="A523" t="inlineStr">
        <is>
          <t>base</t>
        </is>
      </c>
      <c r="B523" t="n">
        <v>2033</v>
      </c>
      <c r="C523" t="inlineStr">
        <is>
          <t>pharma_preclinical_nam</t>
        </is>
      </c>
      <c r="D523" t="inlineStr">
        <is>
          <t>RoW</t>
        </is>
      </c>
      <c r="E523" t="n">
        <v>2344127</v>
      </c>
      <c r="F523" t="n">
        <v>1289270</v>
      </c>
      <c r="G523" t="n">
        <v>46.1976</v>
      </c>
      <c r="H523" t="n">
        <v>0.270782</v>
      </c>
      <c r="I523">
        <f>F523*H523</f>
        <v/>
      </c>
      <c r="J523">
        <f>G523*H523</f>
        <v/>
      </c>
    </row>
    <row r="524">
      <c r="A524" t="inlineStr">
        <is>
          <t>base</t>
        </is>
      </c>
      <c r="B524" t="n">
        <v>2033</v>
      </c>
      <c r="C524" t="inlineStr">
        <is>
          <t>organoid_cro_biobank</t>
        </is>
      </c>
      <c r="D524" t="inlineStr">
        <is>
          <t>US</t>
        </is>
      </c>
      <c r="E524" t="n">
        <v>7831606</v>
      </c>
      <c r="F524" t="n">
        <v>3915803</v>
      </c>
      <c r="G524" t="n">
        <v>127.2166</v>
      </c>
      <c r="H524" t="n">
        <v>0.044255</v>
      </c>
      <c r="I524">
        <f>F524*H524</f>
        <v/>
      </c>
      <c r="J524">
        <f>G524*H524</f>
        <v/>
      </c>
    </row>
    <row r="525">
      <c r="A525" t="inlineStr">
        <is>
          <t>base</t>
        </is>
      </c>
      <c r="B525" t="n">
        <v>2033</v>
      </c>
      <c r="C525" t="inlineStr">
        <is>
          <t>organoid_cro_biobank</t>
        </is>
      </c>
      <c r="D525" t="inlineStr">
        <is>
          <t>EU</t>
        </is>
      </c>
      <c r="E525" t="n">
        <v>3915803</v>
      </c>
      <c r="F525" t="n">
        <v>1957902</v>
      </c>
      <c r="G525" t="n">
        <v>63.6083</v>
      </c>
      <c r="H525" t="n">
        <v>0.044255</v>
      </c>
      <c r="I525">
        <f>F525*H525</f>
        <v/>
      </c>
      <c r="J525">
        <f>G525*H525</f>
        <v/>
      </c>
    </row>
    <row r="526">
      <c r="A526" t="inlineStr">
        <is>
          <t>base</t>
        </is>
      </c>
      <c r="B526" t="n">
        <v>2033</v>
      </c>
      <c r="C526" t="inlineStr">
        <is>
          <t>organoid_cro_biobank</t>
        </is>
      </c>
      <c r="D526" t="inlineStr">
        <is>
          <t>China</t>
        </is>
      </c>
      <c r="E526" t="n">
        <v>1901710</v>
      </c>
      <c r="F526" t="n">
        <v>950855</v>
      </c>
      <c r="G526" t="n">
        <v>69.9691</v>
      </c>
      <c r="H526" t="n">
        <v>0.044255</v>
      </c>
      <c r="I526">
        <f>F526*H526</f>
        <v/>
      </c>
      <c r="J526">
        <f>G526*H526</f>
        <v/>
      </c>
    </row>
    <row r="527">
      <c r="A527" t="inlineStr">
        <is>
          <t>base</t>
        </is>
      </c>
      <c r="B527" t="n">
        <v>2033</v>
      </c>
      <c r="C527" t="inlineStr">
        <is>
          <t>organoid_cro_biobank</t>
        </is>
      </c>
      <c r="D527" t="inlineStr">
        <is>
          <t>Japan</t>
        </is>
      </c>
      <c r="E527" t="n">
        <v>1116004</v>
      </c>
      <c r="F527" t="n">
        <v>558002</v>
      </c>
      <c r="G527" t="n">
        <v>19.0825</v>
      </c>
      <c r="H527" t="n">
        <v>0.044255</v>
      </c>
      <c r="I527">
        <f>F527*H527</f>
        <v/>
      </c>
      <c r="J527">
        <f>G527*H527</f>
        <v/>
      </c>
    </row>
    <row r="528">
      <c r="A528" t="inlineStr">
        <is>
          <t>base</t>
        </is>
      </c>
      <c r="B528" t="n">
        <v>2033</v>
      </c>
      <c r="C528" t="inlineStr">
        <is>
          <t>organoid_cro_biobank</t>
        </is>
      </c>
      <c r="D528" t="inlineStr">
        <is>
          <t>Korea</t>
        </is>
      </c>
      <c r="E528" t="n">
        <v>881056</v>
      </c>
      <c r="F528" t="n">
        <v>440528</v>
      </c>
      <c r="G528" t="n">
        <v>15.9021</v>
      </c>
      <c r="H528" t="n">
        <v>0.044255</v>
      </c>
      <c r="I528">
        <f>F528*H528</f>
        <v/>
      </c>
      <c r="J528">
        <f>G528*H528</f>
        <v/>
      </c>
    </row>
    <row r="529">
      <c r="A529" t="inlineStr">
        <is>
          <t>base</t>
        </is>
      </c>
      <c r="B529" t="n">
        <v>2033</v>
      </c>
      <c r="C529" t="inlineStr">
        <is>
          <t>organoid_cro_biobank</t>
        </is>
      </c>
      <c r="D529" t="inlineStr">
        <is>
          <t>RoW</t>
        </is>
      </c>
      <c r="E529" t="n">
        <v>1096425</v>
      </c>
      <c r="F529" t="n">
        <v>548212</v>
      </c>
      <c r="G529" t="n">
        <v>22.2629</v>
      </c>
      <c r="H529" t="n">
        <v>0.044255</v>
      </c>
      <c r="I529">
        <f>F529*H529</f>
        <v/>
      </c>
      <c r="J529">
        <f>G529*H529</f>
        <v/>
      </c>
    </row>
    <row r="530">
      <c r="A530" t="inlineStr">
        <is>
          <t>base</t>
        </is>
      </c>
      <c r="B530" t="n">
        <v>2033</v>
      </c>
      <c r="C530" t="inlineStr">
        <is>
          <t>clinical_dx_pdo</t>
        </is>
      </c>
      <c r="D530" t="inlineStr">
        <is>
          <t>US</t>
        </is>
      </c>
      <c r="E530" t="n">
        <v>1352663</v>
      </c>
      <c r="F530" t="n">
        <v>608699</v>
      </c>
      <c r="G530" t="n">
        <v>14.8315</v>
      </c>
      <c r="H530" t="n">
        <v>0.058535</v>
      </c>
      <c r="I530">
        <f>F530*H530</f>
        <v/>
      </c>
      <c r="J530">
        <f>G530*H530</f>
        <v/>
      </c>
    </row>
    <row r="531">
      <c r="A531" t="inlineStr">
        <is>
          <t>base</t>
        </is>
      </c>
      <c r="B531" t="n">
        <v>2033</v>
      </c>
      <c r="C531" t="inlineStr">
        <is>
          <t>clinical_dx_pdo</t>
        </is>
      </c>
      <c r="D531" t="inlineStr">
        <is>
          <t>EU</t>
        </is>
      </c>
      <c r="E531" t="n">
        <v>811598</v>
      </c>
      <c r="F531" t="n">
        <v>365219</v>
      </c>
      <c r="G531" t="n">
        <v>8.898899999999999</v>
      </c>
      <c r="H531" t="n">
        <v>0.058535</v>
      </c>
      <c r="I531">
        <f>F531*H531</f>
        <v/>
      </c>
      <c r="J531">
        <f>G531*H531</f>
        <v/>
      </c>
    </row>
    <row r="532">
      <c r="A532" t="inlineStr">
        <is>
          <t>base</t>
        </is>
      </c>
      <c r="B532" t="n">
        <v>2033</v>
      </c>
      <c r="C532" t="inlineStr">
        <is>
          <t>clinical_dx_pdo</t>
        </is>
      </c>
      <c r="D532" t="inlineStr">
        <is>
          <t>China</t>
        </is>
      </c>
      <c r="E532" t="n">
        <v>1074962</v>
      </c>
      <c r="F532" t="n">
        <v>483733</v>
      </c>
      <c r="G532" t="n">
        <v>26.6968</v>
      </c>
      <c r="H532" t="n">
        <v>0.058535</v>
      </c>
      <c r="I532">
        <f>F532*H532</f>
        <v/>
      </c>
      <c r="J532">
        <f>G532*H532</f>
        <v/>
      </c>
    </row>
    <row r="533">
      <c r="A533" t="inlineStr">
        <is>
          <t>base</t>
        </is>
      </c>
      <c r="B533" t="n">
        <v>2033</v>
      </c>
      <c r="C533" t="inlineStr">
        <is>
          <t>clinical_dx_pdo</t>
        </is>
      </c>
      <c r="D533" t="inlineStr">
        <is>
          <t>Japan</t>
        </is>
      </c>
      <c r="E533" t="n">
        <v>308407</v>
      </c>
      <c r="F533" t="n">
        <v>138783</v>
      </c>
      <c r="G533" t="n">
        <v>3.5596</v>
      </c>
      <c r="H533" t="n">
        <v>0.058535</v>
      </c>
      <c r="I533">
        <f>F533*H533</f>
        <v/>
      </c>
      <c r="J533">
        <f>G533*H533</f>
        <v/>
      </c>
    </row>
    <row r="534">
      <c r="A534" t="inlineStr">
        <is>
          <t>base</t>
        </is>
      </c>
      <c r="B534" t="n">
        <v>2033</v>
      </c>
      <c r="C534" t="inlineStr">
        <is>
          <t>clinical_dx_pdo</t>
        </is>
      </c>
      <c r="D534" t="inlineStr">
        <is>
          <t>Korea</t>
        </is>
      </c>
      <c r="E534" t="n">
        <v>243479</v>
      </c>
      <c r="F534" t="n">
        <v>109566</v>
      </c>
      <c r="G534" t="n">
        <v>2.9663</v>
      </c>
      <c r="H534" t="n">
        <v>0.058535</v>
      </c>
      <c r="I534">
        <f>F534*H534</f>
        <v/>
      </c>
      <c r="J534">
        <f>G534*H534</f>
        <v/>
      </c>
    </row>
    <row r="535">
      <c r="A535" t="inlineStr">
        <is>
          <t>base</t>
        </is>
      </c>
      <c r="B535" t="n">
        <v>2033</v>
      </c>
      <c r="C535" t="inlineStr">
        <is>
          <t>clinical_dx_pdo</t>
        </is>
      </c>
      <c r="D535" t="inlineStr">
        <is>
          <t>RoW</t>
        </is>
      </c>
      <c r="E535" t="n">
        <v>173141</v>
      </c>
      <c r="F535" t="n">
        <v>77913</v>
      </c>
      <c r="G535" t="n">
        <v>2.373</v>
      </c>
      <c r="H535" t="n">
        <v>0.058535</v>
      </c>
      <c r="I535">
        <f>F535*H535</f>
        <v/>
      </c>
      <c r="J535">
        <f>G535*H535</f>
        <v/>
      </c>
    </row>
    <row r="536">
      <c r="A536" t="inlineStr">
        <is>
          <t>base</t>
        </is>
      </c>
      <c r="B536" t="n">
        <v>2033</v>
      </c>
      <c r="C536" t="inlineStr">
        <is>
          <t>regenerative_gmp</t>
        </is>
      </c>
      <c r="D536" t="inlineStr">
        <is>
          <t>US</t>
        </is>
      </c>
      <c r="E536" t="n">
        <v>390447</v>
      </c>
      <c r="F536" t="n">
        <v>390447</v>
      </c>
      <c r="G536" t="n">
        <v>3.9082</v>
      </c>
      <c r="H536" t="n">
        <v>0.890235</v>
      </c>
      <c r="I536">
        <f>F536*H536</f>
        <v/>
      </c>
      <c r="J536">
        <f>G536*H536</f>
        <v/>
      </c>
    </row>
    <row r="537">
      <c r="A537" t="inlineStr">
        <is>
          <t>base</t>
        </is>
      </c>
      <c r="B537" t="n">
        <v>2033</v>
      </c>
      <c r="C537" t="inlineStr">
        <is>
          <t>regenerative_gmp</t>
        </is>
      </c>
      <c r="D537" t="inlineStr">
        <is>
          <t>EU</t>
        </is>
      </c>
      <c r="E537" t="n">
        <v>312357</v>
      </c>
      <c r="F537" t="n">
        <v>312357</v>
      </c>
      <c r="G537" t="n">
        <v>3.1265</v>
      </c>
      <c r="H537" t="n">
        <v>0.890235</v>
      </c>
      <c r="I537">
        <f>F537*H537</f>
        <v/>
      </c>
      <c r="J537">
        <f>G537*H537</f>
        <v/>
      </c>
    </row>
    <row r="538">
      <c r="A538" t="inlineStr">
        <is>
          <t>base</t>
        </is>
      </c>
      <c r="B538" t="n">
        <v>2033</v>
      </c>
      <c r="C538" t="inlineStr">
        <is>
          <t>regenerative_gmp</t>
        </is>
      </c>
      <c r="D538" t="inlineStr">
        <is>
          <t>China</t>
        </is>
      </c>
      <c r="E538" t="n">
        <v>68953</v>
      </c>
      <c r="F538" t="n">
        <v>68953</v>
      </c>
      <c r="G538" t="n">
        <v>1.5633</v>
      </c>
      <c r="H538" t="n">
        <v>0.890235</v>
      </c>
      <c r="I538">
        <f>F538*H538</f>
        <v/>
      </c>
      <c r="J538">
        <f>G538*H538</f>
        <v/>
      </c>
    </row>
    <row r="539">
      <c r="A539" t="inlineStr">
        <is>
          <t>base</t>
        </is>
      </c>
      <c r="B539" t="n">
        <v>2033</v>
      </c>
      <c r="C539" t="inlineStr">
        <is>
          <t>regenerative_gmp</t>
        </is>
      </c>
      <c r="D539" t="inlineStr">
        <is>
          <t>Japan</t>
        </is>
      </c>
      <c r="E539" t="n">
        <v>593479</v>
      </c>
      <c r="F539" t="n">
        <v>593479</v>
      </c>
      <c r="G539" t="n">
        <v>6.2531</v>
      </c>
      <c r="H539" t="n">
        <v>0.890235</v>
      </c>
      <c r="I539">
        <f>F539*H539</f>
        <v/>
      </c>
      <c r="J539">
        <f>G539*H539</f>
        <v/>
      </c>
    </row>
    <row r="540">
      <c r="A540" t="inlineStr">
        <is>
          <t>base</t>
        </is>
      </c>
      <c r="B540" t="n">
        <v>2033</v>
      </c>
      <c r="C540" t="inlineStr">
        <is>
          <t>regenerative_gmp</t>
        </is>
      </c>
      <c r="D540" t="inlineStr">
        <is>
          <t>Korea</t>
        </is>
      </c>
      <c r="E540" t="n">
        <v>70280</v>
      </c>
      <c r="F540" t="n">
        <v>70280</v>
      </c>
      <c r="G540" t="n">
        <v>0.7816</v>
      </c>
      <c r="H540" t="n">
        <v>0.890235</v>
      </c>
      <c r="I540">
        <f>F540*H540</f>
        <v/>
      </c>
      <c r="J540">
        <f>G540*H540</f>
        <v/>
      </c>
    </row>
    <row r="541">
      <c r="A541" t="inlineStr">
        <is>
          <t>base</t>
        </is>
      </c>
      <c r="B541" t="n">
        <v>2033</v>
      </c>
      <c r="C541" t="inlineStr">
        <is>
          <t>regenerative_gmp</t>
        </is>
      </c>
      <c r="D541" t="inlineStr">
        <is>
          <t>RoW</t>
        </is>
      </c>
      <c r="E541" t="n">
        <v>0</v>
      </c>
      <c r="F541" t="n">
        <v>0</v>
      </c>
      <c r="G541" t="n">
        <v>0</v>
      </c>
      <c r="H541" t="n">
        <v>0.890235</v>
      </c>
      <c r="I541">
        <f>F541*H541</f>
        <v/>
      </c>
      <c r="J541">
        <f>G541*H541</f>
        <v/>
      </c>
    </row>
    <row r="542">
      <c r="A542" t="inlineStr">
        <is>
          <t>base</t>
        </is>
      </c>
      <c r="B542" t="n">
        <v>2034</v>
      </c>
      <c r="C542" t="inlineStr">
        <is>
          <t>academic_ruo</t>
        </is>
      </c>
      <c r="D542" t="inlineStr">
        <is>
          <t>US</t>
        </is>
      </c>
      <c r="E542" t="n">
        <v>10184702</v>
      </c>
      <c r="F542" t="n">
        <v>6212668</v>
      </c>
      <c r="G542" t="n">
        <v>154.4672</v>
      </c>
      <c r="H542" t="n">
        <v>0.199123</v>
      </c>
      <c r="I542">
        <f>F542*H542</f>
        <v/>
      </c>
      <c r="J542">
        <f>G542*H542</f>
        <v/>
      </c>
    </row>
    <row r="543">
      <c r="A543" t="inlineStr">
        <is>
          <t>base</t>
        </is>
      </c>
      <c r="B543" t="n">
        <v>2034</v>
      </c>
      <c r="C543" t="inlineStr">
        <is>
          <t>academic_ruo</t>
        </is>
      </c>
      <c r="D543" t="inlineStr">
        <is>
          <t>EU</t>
        </is>
      </c>
      <c r="E543" t="n">
        <v>11230225</v>
      </c>
      <c r="F543" t="n">
        <v>6850437</v>
      </c>
      <c r="G543" t="n">
        <v>170.3242</v>
      </c>
      <c r="H543" t="n">
        <v>0.199123</v>
      </c>
      <c r="I543">
        <f>F543*H543</f>
        <v/>
      </c>
      <c r="J543">
        <f>G543*H543</f>
        <v/>
      </c>
    </row>
    <row r="544">
      <c r="A544" t="inlineStr">
        <is>
          <t>base</t>
        </is>
      </c>
      <c r="B544" t="n">
        <v>2034</v>
      </c>
      <c r="C544" t="inlineStr">
        <is>
          <t>academic_ruo</t>
        </is>
      </c>
      <c r="D544" t="inlineStr">
        <is>
          <t>China</t>
        </is>
      </c>
      <c r="E544" t="n">
        <v>6423637</v>
      </c>
      <c r="F544" t="n">
        <v>3918419</v>
      </c>
      <c r="G544" t="n">
        <v>220.6674</v>
      </c>
      <c r="H544" t="n">
        <v>0.199123</v>
      </c>
      <c r="I544">
        <f>F544*H544</f>
        <v/>
      </c>
      <c r="J544">
        <f>G544*H544</f>
        <v/>
      </c>
    </row>
    <row r="545">
      <c r="A545" t="inlineStr">
        <is>
          <t>base</t>
        </is>
      </c>
      <c r="B545" t="n">
        <v>2034</v>
      </c>
      <c r="C545" t="inlineStr">
        <is>
          <t>academic_ruo</t>
        </is>
      </c>
      <c r="D545" t="inlineStr">
        <is>
          <t>Japan</t>
        </is>
      </c>
      <c r="E545" t="n">
        <v>2229594</v>
      </c>
      <c r="F545" t="n">
        <v>1360053</v>
      </c>
      <c r="G545" t="n">
        <v>35.5951</v>
      </c>
      <c r="H545" t="n">
        <v>0.199123</v>
      </c>
      <c r="I545">
        <f>F545*H545</f>
        <v/>
      </c>
      <c r="J545">
        <f>G545*H545</f>
        <v/>
      </c>
    </row>
    <row r="546">
      <c r="A546" t="inlineStr">
        <is>
          <t>base</t>
        </is>
      </c>
      <c r="B546" t="n">
        <v>2034</v>
      </c>
      <c r="C546" t="inlineStr">
        <is>
          <t>academic_ruo</t>
        </is>
      </c>
      <c r="D546" t="inlineStr">
        <is>
          <t>Korea</t>
        </is>
      </c>
      <c r="E546" t="n">
        <v>1895100</v>
      </c>
      <c r="F546" t="n">
        <v>1156011</v>
      </c>
      <c r="G546" t="n">
        <v>31.9358</v>
      </c>
      <c r="H546" t="n">
        <v>0.199123</v>
      </c>
      <c r="I546">
        <f>F546*H546</f>
        <v/>
      </c>
      <c r="J546">
        <f>G546*H546</f>
        <v/>
      </c>
    </row>
    <row r="547">
      <c r="A547" t="inlineStr">
        <is>
          <t>base</t>
        </is>
      </c>
      <c r="B547" t="n">
        <v>2034</v>
      </c>
      <c r="C547" t="inlineStr">
        <is>
          <t>academic_ruo</t>
        </is>
      </c>
      <c r="D547" t="inlineStr">
        <is>
          <t>RoW</t>
        </is>
      </c>
      <c r="E547" t="n">
        <v>6808324</v>
      </c>
      <c r="F547" t="n">
        <v>4153077</v>
      </c>
      <c r="G547" t="n">
        <v>129.0738</v>
      </c>
      <c r="H547" t="n">
        <v>0.199123</v>
      </c>
      <c r="I547">
        <f>F547*H547</f>
        <v/>
      </c>
      <c r="J547">
        <f>G547*H547</f>
        <v/>
      </c>
    </row>
    <row r="548">
      <c r="A548" t="inlineStr">
        <is>
          <t>base</t>
        </is>
      </c>
      <c r="B548" t="n">
        <v>2034</v>
      </c>
      <c r="C548" t="inlineStr">
        <is>
          <t>pharma_preclinical_nam</t>
        </is>
      </c>
      <c r="D548" t="inlineStr">
        <is>
          <t>US</t>
        </is>
      </c>
      <c r="E548" t="n">
        <v>29503955</v>
      </c>
      <c r="F548" t="n">
        <v>16227175</v>
      </c>
      <c r="G548" t="n">
        <v>474.6593</v>
      </c>
      <c r="H548" t="n">
        <v>0.318201</v>
      </c>
      <c r="I548">
        <f>F548*H548</f>
        <v/>
      </c>
      <c r="J548">
        <f>G548*H548</f>
        <v/>
      </c>
    </row>
    <row r="549">
      <c r="A549" t="inlineStr">
        <is>
          <t>base</t>
        </is>
      </c>
      <c r="B549" t="n">
        <v>2034</v>
      </c>
      <c r="C549" t="inlineStr">
        <is>
          <t>pharma_preclinical_nam</t>
        </is>
      </c>
      <c r="D549" t="inlineStr">
        <is>
          <t>EU</t>
        </is>
      </c>
      <c r="E549" t="n">
        <v>16391086</v>
      </c>
      <c r="F549" t="n">
        <v>9015097</v>
      </c>
      <c r="G549" t="n">
        <v>263.6996</v>
      </c>
      <c r="H549" t="n">
        <v>0.318201</v>
      </c>
      <c r="I549">
        <f>F549*H549</f>
        <v/>
      </c>
      <c r="J549">
        <f>G549*H549</f>
        <v/>
      </c>
    </row>
    <row r="550">
      <c r="A550" t="inlineStr">
        <is>
          <t>base</t>
        </is>
      </c>
      <c r="B550" t="n">
        <v>2034</v>
      </c>
      <c r="C550" t="inlineStr">
        <is>
          <t>pharma_preclinical_nam</t>
        </is>
      </c>
      <c r="D550" t="inlineStr">
        <is>
          <t>China</t>
        </is>
      </c>
      <c r="E550" t="n">
        <v>4341999</v>
      </c>
      <c r="F550" t="n">
        <v>2388099</v>
      </c>
      <c r="G550" t="n">
        <v>158.2198</v>
      </c>
      <c r="H550" t="n">
        <v>0.318201</v>
      </c>
      <c r="I550">
        <f>F550*H550</f>
        <v/>
      </c>
      <c r="J550">
        <f>G550*H550</f>
        <v/>
      </c>
    </row>
    <row r="551">
      <c r="A551" t="inlineStr">
        <is>
          <t>base</t>
        </is>
      </c>
      <c r="B551" t="n">
        <v>2034</v>
      </c>
      <c r="C551" t="inlineStr">
        <is>
          <t>pharma_preclinical_nam</t>
        </is>
      </c>
      <c r="D551" t="inlineStr">
        <is>
          <t>Japan</t>
        </is>
      </c>
      <c r="E551" t="n">
        <v>4360029</v>
      </c>
      <c r="F551" t="n">
        <v>2398016</v>
      </c>
      <c r="G551" t="n">
        <v>73.8359</v>
      </c>
      <c r="H551" t="n">
        <v>0.318201</v>
      </c>
      <c r="I551">
        <f>F551*H551</f>
        <v/>
      </c>
      <c r="J551">
        <f>G551*H551</f>
        <v/>
      </c>
    </row>
    <row r="552">
      <c r="A552" t="inlineStr">
        <is>
          <t>base</t>
        </is>
      </c>
      <c r="B552" t="n">
        <v>2034</v>
      </c>
      <c r="C552" t="inlineStr">
        <is>
          <t>pharma_preclinical_nam</t>
        </is>
      </c>
      <c r="D552" t="inlineStr">
        <is>
          <t>Korea</t>
        </is>
      </c>
      <c r="E552" t="n">
        <v>1770237</v>
      </c>
      <c r="F552" t="n">
        <v>973631</v>
      </c>
      <c r="G552" t="n">
        <v>31.644</v>
      </c>
      <c r="H552" t="n">
        <v>0.318201</v>
      </c>
      <c r="I552">
        <f>F552*H552</f>
        <v/>
      </c>
      <c r="J552">
        <f>G552*H552</f>
        <v/>
      </c>
    </row>
    <row r="553">
      <c r="A553" t="inlineStr">
        <is>
          <t>base</t>
        </is>
      </c>
      <c r="B553" t="n">
        <v>2034</v>
      </c>
      <c r="C553" t="inlineStr">
        <is>
          <t>pharma_preclinical_nam</t>
        </is>
      </c>
      <c r="D553" t="inlineStr">
        <is>
          <t>RoW</t>
        </is>
      </c>
      <c r="E553" t="n">
        <v>2622574</v>
      </c>
      <c r="F553" t="n">
        <v>1442416</v>
      </c>
      <c r="G553" t="n">
        <v>52.7399</v>
      </c>
      <c r="H553" t="n">
        <v>0.318201</v>
      </c>
      <c r="I553">
        <f>F553*H553</f>
        <v/>
      </c>
      <c r="J553">
        <f>G553*H553</f>
        <v/>
      </c>
    </row>
    <row r="554">
      <c r="A554" t="inlineStr">
        <is>
          <t>base</t>
        </is>
      </c>
      <c r="B554" t="n">
        <v>2034</v>
      </c>
      <c r="C554" t="inlineStr">
        <is>
          <t>organoid_cro_biobank</t>
        </is>
      </c>
      <c r="D554" t="inlineStr">
        <is>
          <t>US</t>
        </is>
      </c>
      <c r="E554" t="n">
        <v>8442472</v>
      </c>
      <c r="F554" t="n">
        <v>4221236</v>
      </c>
      <c r="G554" t="n">
        <v>139.9382</v>
      </c>
      <c r="H554" t="n">
        <v>0.050451</v>
      </c>
      <c r="I554">
        <f>F554*H554</f>
        <v/>
      </c>
      <c r="J554">
        <f>G554*H554</f>
        <v/>
      </c>
    </row>
    <row r="555">
      <c r="A555" t="inlineStr">
        <is>
          <t>base</t>
        </is>
      </c>
      <c r="B555" t="n">
        <v>2034</v>
      </c>
      <c r="C555" t="inlineStr">
        <is>
          <t>organoid_cro_biobank</t>
        </is>
      </c>
      <c r="D555" t="inlineStr">
        <is>
          <t>EU</t>
        </is>
      </c>
      <c r="E555" t="n">
        <v>4221236</v>
      </c>
      <c r="F555" t="n">
        <v>2110618</v>
      </c>
      <c r="G555" t="n">
        <v>69.9691</v>
      </c>
      <c r="H555" t="n">
        <v>0.050451</v>
      </c>
      <c r="I555">
        <f>F555*H555</f>
        <v/>
      </c>
      <c r="J555">
        <f>G555*H555</f>
        <v/>
      </c>
    </row>
    <row r="556">
      <c r="A556" t="inlineStr">
        <is>
          <t>base</t>
        </is>
      </c>
      <c r="B556" t="n">
        <v>2034</v>
      </c>
      <c r="C556" t="inlineStr">
        <is>
          <t>organoid_cro_biobank</t>
        </is>
      </c>
      <c r="D556" t="inlineStr">
        <is>
          <t>China</t>
        </is>
      </c>
      <c r="E556" t="n">
        <v>2050043</v>
      </c>
      <c r="F556" t="n">
        <v>1025022</v>
      </c>
      <c r="G556" t="n">
        <v>76.96599999999999</v>
      </c>
      <c r="H556" t="n">
        <v>0.050451</v>
      </c>
      <c r="I556">
        <f>F556*H556</f>
        <v/>
      </c>
      <c r="J556">
        <f>G556*H556</f>
        <v/>
      </c>
    </row>
    <row r="557">
      <c r="A557" t="inlineStr">
        <is>
          <t>base</t>
        </is>
      </c>
      <c r="B557" t="n">
        <v>2034</v>
      </c>
      <c r="C557" t="inlineStr">
        <is>
          <t>organoid_cro_biobank</t>
        </is>
      </c>
      <c r="D557" t="inlineStr">
        <is>
          <t>Japan</t>
        </is>
      </c>
      <c r="E557" t="n">
        <v>1203052</v>
      </c>
      <c r="F557" t="n">
        <v>601526</v>
      </c>
      <c r="G557" t="n">
        <v>20.9907</v>
      </c>
      <c r="H557" t="n">
        <v>0.050451</v>
      </c>
      <c r="I557">
        <f>F557*H557</f>
        <v/>
      </c>
      <c r="J557">
        <f>G557*H557</f>
        <v/>
      </c>
    </row>
    <row r="558">
      <c r="A558" t="inlineStr">
        <is>
          <t>base</t>
        </is>
      </c>
      <c r="B558" t="n">
        <v>2034</v>
      </c>
      <c r="C558" t="inlineStr">
        <is>
          <t>organoid_cro_biobank</t>
        </is>
      </c>
      <c r="D558" t="inlineStr">
        <is>
          <t>Korea</t>
        </is>
      </c>
      <c r="E558" t="n">
        <v>949778</v>
      </c>
      <c r="F558" t="n">
        <v>474889</v>
      </c>
      <c r="G558" t="n">
        <v>17.4923</v>
      </c>
      <c r="H558" t="n">
        <v>0.050451</v>
      </c>
      <c r="I558">
        <f>F558*H558</f>
        <v/>
      </c>
      <c r="J558">
        <f>G558*H558</f>
        <v/>
      </c>
    </row>
    <row r="559">
      <c r="A559" t="inlineStr">
        <is>
          <t>base</t>
        </is>
      </c>
      <c r="B559" t="n">
        <v>2034</v>
      </c>
      <c r="C559" t="inlineStr">
        <is>
          <t>organoid_cro_biobank</t>
        </is>
      </c>
      <c r="D559" t="inlineStr">
        <is>
          <t>RoW</t>
        </is>
      </c>
      <c r="E559" t="n">
        <v>1181946</v>
      </c>
      <c r="F559" t="n">
        <v>590973</v>
      </c>
      <c r="G559" t="n">
        <v>24.4892</v>
      </c>
      <c r="H559" t="n">
        <v>0.050451</v>
      </c>
      <c r="I559">
        <f>F559*H559</f>
        <v/>
      </c>
      <c r="J559">
        <f>G559*H559</f>
        <v/>
      </c>
    </row>
    <row r="560">
      <c r="A560" t="inlineStr">
        <is>
          <t>base</t>
        </is>
      </c>
      <c r="B560" t="n">
        <v>2034</v>
      </c>
      <c r="C560" t="inlineStr">
        <is>
          <t>clinical_dx_pdo</t>
        </is>
      </c>
      <c r="D560" t="inlineStr">
        <is>
          <t>US</t>
        </is>
      </c>
      <c r="E560" t="n">
        <v>1590732</v>
      </c>
      <c r="F560" t="n">
        <v>715829</v>
      </c>
      <c r="G560" t="n">
        <v>17.7979</v>
      </c>
      <c r="H560" t="n">
        <v>0.067611</v>
      </c>
      <c r="I560">
        <f>F560*H560</f>
        <v/>
      </c>
      <c r="J560">
        <f>G560*H560</f>
        <v/>
      </c>
    </row>
    <row r="561">
      <c r="A561" t="inlineStr">
        <is>
          <t>base</t>
        </is>
      </c>
      <c r="B561" t="n">
        <v>2034</v>
      </c>
      <c r="C561" t="inlineStr">
        <is>
          <t>clinical_dx_pdo</t>
        </is>
      </c>
      <c r="D561" t="inlineStr">
        <is>
          <t>EU</t>
        </is>
      </c>
      <c r="E561" t="n">
        <v>954439</v>
      </c>
      <c r="F561" t="n">
        <v>429498</v>
      </c>
      <c r="G561" t="n">
        <v>10.6787</v>
      </c>
      <c r="H561" t="n">
        <v>0.067611</v>
      </c>
      <c r="I561">
        <f>F561*H561</f>
        <v/>
      </c>
      <c r="J561">
        <f>G561*H561</f>
        <v/>
      </c>
    </row>
    <row r="562">
      <c r="A562" t="inlineStr">
        <is>
          <t>base</t>
        </is>
      </c>
      <c r="B562" t="n">
        <v>2034</v>
      </c>
      <c r="C562" t="inlineStr">
        <is>
          <t>clinical_dx_pdo</t>
        </is>
      </c>
      <c r="D562" t="inlineStr">
        <is>
          <t>China</t>
        </is>
      </c>
      <c r="E562" t="n">
        <v>1264155</v>
      </c>
      <c r="F562" t="n">
        <v>568870</v>
      </c>
      <c r="G562" t="n">
        <v>32.0361</v>
      </c>
      <c r="H562" t="n">
        <v>0.067611</v>
      </c>
      <c r="I562">
        <f>F562*H562</f>
        <v/>
      </c>
      <c r="J562">
        <f>G562*H562</f>
        <v/>
      </c>
    </row>
    <row r="563">
      <c r="A563" t="inlineStr">
        <is>
          <t>base</t>
        </is>
      </c>
      <c r="B563" t="n">
        <v>2034</v>
      </c>
      <c r="C563" t="inlineStr">
        <is>
          <t>clinical_dx_pdo</t>
        </is>
      </c>
      <c r="D563" t="inlineStr">
        <is>
          <t>Japan</t>
        </is>
      </c>
      <c r="E563" t="n">
        <v>362687</v>
      </c>
      <c r="F563" t="n">
        <v>163209</v>
      </c>
      <c r="G563" t="n">
        <v>4.2715</v>
      </c>
      <c r="H563" t="n">
        <v>0.067611</v>
      </c>
      <c r="I563">
        <f>F563*H563</f>
        <v/>
      </c>
      <c r="J563">
        <f>G563*H563</f>
        <v/>
      </c>
    </row>
    <row r="564">
      <c r="A564" t="inlineStr">
        <is>
          <t>base</t>
        </is>
      </c>
      <c r="B564" t="n">
        <v>2034</v>
      </c>
      <c r="C564" t="inlineStr">
        <is>
          <t>clinical_dx_pdo</t>
        </is>
      </c>
      <c r="D564" t="inlineStr">
        <is>
          <t>Korea</t>
        </is>
      </c>
      <c r="E564" t="n">
        <v>286332</v>
      </c>
      <c r="F564" t="n">
        <v>128849</v>
      </c>
      <c r="G564" t="n">
        <v>3.5596</v>
      </c>
      <c r="H564" t="n">
        <v>0.067611</v>
      </c>
      <c r="I564">
        <f>F564*H564</f>
        <v/>
      </c>
      <c r="J564">
        <f>G564*H564</f>
        <v/>
      </c>
    </row>
    <row r="565">
      <c r="A565" t="inlineStr">
        <is>
          <t>base</t>
        </is>
      </c>
      <c r="B565" t="n">
        <v>2034</v>
      </c>
      <c r="C565" t="inlineStr">
        <is>
          <t>clinical_dx_pdo</t>
        </is>
      </c>
      <c r="D565" t="inlineStr">
        <is>
          <t>RoW</t>
        </is>
      </c>
      <c r="E565" t="n">
        <v>203614</v>
      </c>
      <c r="F565" t="n">
        <v>91626</v>
      </c>
      <c r="G565" t="n">
        <v>2.8477</v>
      </c>
      <c r="H565" t="n">
        <v>0.067611</v>
      </c>
      <c r="I565">
        <f>F565*H565</f>
        <v/>
      </c>
      <c r="J565">
        <f>G565*H565</f>
        <v/>
      </c>
    </row>
    <row r="566">
      <c r="A566" t="inlineStr">
        <is>
          <t>base</t>
        </is>
      </c>
      <c r="B566" t="n">
        <v>2034</v>
      </c>
      <c r="C566" t="inlineStr">
        <is>
          <t>regenerative_gmp</t>
        </is>
      </c>
      <c r="D566" t="inlineStr">
        <is>
          <t>US</t>
        </is>
      </c>
      <c r="E566" t="n">
        <v>516561</v>
      </c>
      <c r="F566" t="n">
        <v>516561</v>
      </c>
      <c r="G566" t="n">
        <v>5.276</v>
      </c>
      <c r="H566" t="n">
        <v>0.9275139999999999</v>
      </c>
      <c r="I566">
        <f>F566*H566</f>
        <v/>
      </c>
      <c r="J566">
        <f>G566*H566</f>
        <v/>
      </c>
    </row>
    <row r="567">
      <c r="A567" t="inlineStr">
        <is>
          <t>base</t>
        </is>
      </c>
      <c r="B567" t="n">
        <v>2034</v>
      </c>
      <c r="C567" t="inlineStr">
        <is>
          <t>regenerative_gmp</t>
        </is>
      </c>
      <c r="D567" t="inlineStr">
        <is>
          <t>EU</t>
        </is>
      </c>
      <c r="E567" t="n">
        <v>413249</v>
      </c>
      <c r="F567" t="n">
        <v>413249</v>
      </c>
      <c r="G567" t="n">
        <v>4.2208</v>
      </c>
      <c r="H567" t="n">
        <v>0.9275139999999999</v>
      </c>
      <c r="I567">
        <f>F567*H567</f>
        <v/>
      </c>
      <c r="J567">
        <f>G567*H567</f>
        <v/>
      </c>
    </row>
    <row r="568">
      <c r="A568" t="inlineStr">
        <is>
          <t>base</t>
        </is>
      </c>
      <c r="B568" t="n">
        <v>2034</v>
      </c>
      <c r="C568" t="inlineStr">
        <is>
          <t>regenerative_gmp</t>
        </is>
      </c>
      <c r="D568" t="inlineStr">
        <is>
          <t>China</t>
        </is>
      </c>
      <c r="E568" t="n">
        <v>91225</v>
      </c>
      <c r="F568" t="n">
        <v>91225</v>
      </c>
      <c r="G568" t="n">
        <v>2.1104</v>
      </c>
      <c r="H568" t="n">
        <v>0.9275139999999999</v>
      </c>
      <c r="I568">
        <f>F568*H568</f>
        <v/>
      </c>
      <c r="J568">
        <f>G568*H568</f>
        <v/>
      </c>
    </row>
    <row r="569">
      <c r="A569" t="inlineStr">
        <is>
          <t>base</t>
        </is>
      </c>
      <c r="B569" t="n">
        <v>2034</v>
      </c>
      <c r="C569" t="inlineStr">
        <is>
          <t>regenerative_gmp</t>
        </is>
      </c>
      <c r="D569" t="inlineStr">
        <is>
          <t>Japan</t>
        </is>
      </c>
      <c r="E569" t="n">
        <v>785173</v>
      </c>
      <c r="F569" t="n">
        <v>785173</v>
      </c>
      <c r="G569" t="n">
        <v>8.441700000000001</v>
      </c>
      <c r="H569" t="n">
        <v>0.9275139999999999</v>
      </c>
      <c r="I569">
        <f>F569*H569</f>
        <v/>
      </c>
      <c r="J569">
        <f>G569*H569</f>
        <v/>
      </c>
    </row>
    <row r="570">
      <c r="A570" t="inlineStr">
        <is>
          <t>base</t>
        </is>
      </c>
      <c r="B570" t="n">
        <v>2034</v>
      </c>
      <c r="C570" t="inlineStr">
        <is>
          <t>regenerative_gmp</t>
        </is>
      </c>
      <c r="D570" t="inlineStr">
        <is>
          <t>Korea</t>
        </is>
      </c>
      <c r="E570" t="n">
        <v>92981</v>
      </c>
      <c r="F570" t="n">
        <v>92981</v>
      </c>
      <c r="G570" t="n">
        <v>1.0552</v>
      </c>
      <c r="H570" t="n">
        <v>0.9275139999999999</v>
      </c>
      <c r="I570">
        <f>F570*H570</f>
        <v/>
      </c>
      <c r="J570">
        <f>G570*H570</f>
        <v/>
      </c>
    </row>
    <row r="571">
      <c r="A571" t="inlineStr">
        <is>
          <t>base</t>
        </is>
      </c>
      <c r="B571" t="n">
        <v>2034</v>
      </c>
      <c r="C571" t="inlineStr">
        <is>
          <t>regenerative_gmp</t>
        </is>
      </c>
      <c r="D571" t="inlineStr">
        <is>
          <t>RoW</t>
        </is>
      </c>
      <c r="E571" t="n">
        <v>0</v>
      </c>
      <c r="F571" t="n">
        <v>0</v>
      </c>
      <c r="G571" t="n">
        <v>0</v>
      </c>
      <c r="H571" t="n">
        <v>0.9275139999999999</v>
      </c>
      <c r="I571">
        <f>F571*H571</f>
        <v/>
      </c>
      <c r="J571">
        <f>G571*H571</f>
        <v/>
      </c>
    </row>
    <row r="572">
      <c r="A572" t="inlineStr">
        <is>
          <t>base</t>
        </is>
      </c>
      <c r="B572" t="n">
        <v>2035</v>
      </c>
      <c r="C572" t="inlineStr">
        <is>
          <t>academic_ruo</t>
        </is>
      </c>
      <c r="D572" t="inlineStr">
        <is>
          <t>US</t>
        </is>
      </c>
      <c r="E572" t="n">
        <v>10430154</v>
      </c>
      <c r="F572" t="n">
        <v>6362394</v>
      </c>
      <c r="G572" t="n">
        <v>161.4182</v>
      </c>
      <c r="H572" t="n">
        <v>0.234163</v>
      </c>
      <c r="I572">
        <f>F572*H572</f>
        <v/>
      </c>
      <c r="J572">
        <f>G572*H572</f>
        <v/>
      </c>
    </row>
    <row r="573">
      <c r="A573" t="inlineStr">
        <is>
          <t>base</t>
        </is>
      </c>
      <c r="B573" t="n">
        <v>2035</v>
      </c>
      <c r="C573" t="inlineStr">
        <is>
          <t>academic_ruo</t>
        </is>
      </c>
      <c r="D573" t="inlineStr">
        <is>
          <t>EU</t>
        </is>
      </c>
      <c r="E573" t="n">
        <v>11500873</v>
      </c>
      <c r="F573" t="n">
        <v>7015533</v>
      </c>
      <c r="G573" t="n">
        <v>177.9888</v>
      </c>
      <c r="H573" t="n">
        <v>0.234163</v>
      </c>
      <c r="I573">
        <f>F573*H573</f>
        <v/>
      </c>
      <c r="J573">
        <f>G573*H573</f>
        <v/>
      </c>
    </row>
    <row r="574">
      <c r="A574" t="inlineStr">
        <is>
          <t>base</t>
        </is>
      </c>
      <c r="B574" t="n">
        <v>2035</v>
      </c>
      <c r="C574" t="inlineStr">
        <is>
          <t>academic_ruo</t>
        </is>
      </c>
      <c r="D574" t="inlineStr">
        <is>
          <t>China</t>
        </is>
      </c>
      <c r="E574" t="n">
        <v>6578447</v>
      </c>
      <c r="F574" t="n">
        <v>4012853</v>
      </c>
      <c r="G574" t="n">
        <v>230.5974</v>
      </c>
      <c r="H574" t="n">
        <v>0.234163</v>
      </c>
      <c r="I574">
        <f>F574*H574</f>
        <v/>
      </c>
      <c r="J574">
        <f>G574*H574</f>
        <v/>
      </c>
    </row>
    <row r="575">
      <c r="A575" t="inlineStr">
        <is>
          <t>base</t>
        </is>
      </c>
      <c r="B575" t="n">
        <v>2035</v>
      </c>
      <c r="C575" t="inlineStr">
        <is>
          <t>academic_ruo</t>
        </is>
      </c>
      <c r="D575" t="inlineStr">
        <is>
          <t>Japan</t>
        </is>
      </c>
      <c r="E575" t="n">
        <v>2283328</v>
      </c>
      <c r="F575" t="n">
        <v>1392830</v>
      </c>
      <c r="G575" t="n">
        <v>37.1969</v>
      </c>
      <c r="H575" t="n">
        <v>0.234163</v>
      </c>
      <c r="I575">
        <f>F575*H575</f>
        <v/>
      </c>
      <c r="J575">
        <f>G575*H575</f>
        <v/>
      </c>
    </row>
    <row r="576">
      <c r="A576" t="inlineStr">
        <is>
          <t>base</t>
        </is>
      </c>
      <c r="B576" t="n">
        <v>2035</v>
      </c>
      <c r="C576" t="inlineStr">
        <is>
          <t>academic_ruo</t>
        </is>
      </c>
      <c r="D576" t="inlineStr">
        <is>
          <t>Korea</t>
        </is>
      </c>
      <c r="E576" t="n">
        <v>1940772</v>
      </c>
      <c r="F576" t="n">
        <v>1183871</v>
      </c>
      <c r="G576" t="n">
        <v>33.3729</v>
      </c>
      <c r="H576" t="n">
        <v>0.234163</v>
      </c>
      <c r="I576">
        <f>F576*H576</f>
        <v/>
      </c>
      <c r="J576">
        <f>G576*H576</f>
        <v/>
      </c>
    </row>
    <row r="577">
      <c r="A577" t="inlineStr">
        <is>
          <t>base</t>
        </is>
      </c>
      <c r="B577" t="n">
        <v>2035</v>
      </c>
      <c r="C577" t="inlineStr">
        <is>
          <t>academic_ruo</t>
        </is>
      </c>
      <c r="D577" t="inlineStr">
        <is>
          <t>RoW</t>
        </is>
      </c>
      <c r="E577" t="n">
        <v>6972404</v>
      </c>
      <c r="F577" t="n">
        <v>4253167</v>
      </c>
      <c r="G577" t="n">
        <v>134.8821</v>
      </c>
      <c r="H577" t="n">
        <v>0.234163</v>
      </c>
      <c r="I577">
        <f>F577*H577</f>
        <v/>
      </c>
      <c r="J577">
        <f>G577*H577</f>
        <v/>
      </c>
    </row>
    <row r="578">
      <c r="A578" t="inlineStr">
        <is>
          <t>base</t>
        </is>
      </c>
      <c r="B578" t="n">
        <v>2035</v>
      </c>
      <c r="C578" t="inlineStr">
        <is>
          <t>pharma_preclinical_nam</t>
        </is>
      </c>
      <c r="D578" t="inlineStr">
        <is>
          <t>US</t>
        </is>
      </c>
      <c r="E578" t="n">
        <v>33008581</v>
      </c>
      <c r="F578" t="n">
        <v>18154720</v>
      </c>
      <c r="G578" t="n">
        <v>541.8792999999999</v>
      </c>
      <c r="H578" t="n">
        <v>0.36562</v>
      </c>
      <c r="I578">
        <f>F578*H578</f>
        <v/>
      </c>
      <c r="J578">
        <f>G578*H578</f>
        <v/>
      </c>
    </row>
    <row r="579">
      <c r="A579" t="inlineStr">
        <is>
          <t>base</t>
        </is>
      </c>
      <c r="B579" t="n">
        <v>2035</v>
      </c>
      <c r="C579" t="inlineStr">
        <is>
          <t>pharma_preclinical_nam</t>
        </is>
      </c>
      <c r="D579" t="inlineStr">
        <is>
          <t>EU</t>
        </is>
      </c>
      <c r="E579" t="n">
        <v>18338101</v>
      </c>
      <c r="F579" t="n">
        <v>10085955</v>
      </c>
      <c r="G579" t="n">
        <v>301.0441</v>
      </c>
      <c r="H579" t="n">
        <v>0.36562</v>
      </c>
      <c r="I579">
        <f>F579*H579</f>
        <v/>
      </c>
      <c r="J579">
        <f>G579*H579</f>
        <v/>
      </c>
    </row>
    <row r="580">
      <c r="A580" t="inlineStr">
        <is>
          <t>base</t>
        </is>
      </c>
      <c r="B580" t="n">
        <v>2035</v>
      </c>
      <c r="C580" t="inlineStr">
        <is>
          <t>pharma_preclinical_nam</t>
        </is>
      </c>
      <c r="D580" t="inlineStr">
        <is>
          <t>China</t>
        </is>
      </c>
      <c r="E580" t="n">
        <v>4857763</v>
      </c>
      <c r="F580" t="n">
        <v>2671770</v>
      </c>
      <c r="G580" t="n">
        <v>180.6264</v>
      </c>
      <c r="H580" t="n">
        <v>0.36562</v>
      </c>
      <c r="I580">
        <f>F580*H580</f>
        <v/>
      </c>
      <c r="J580">
        <f>G580*H580</f>
        <v/>
      </c>
    </row>
    <row r="581">
      <c r="A581" t="inlineStr">
        <is>
          <t>base</t>
        </is>
      </c>
      <c r="B581" t="n">
        <v>2035</v>
      </c>
      <c r="C581" t="inlineStr">
        <is>
          <t>pharma_preclinical_nam</t>
        </is>
      </c>
      <c r="D581" t="inlineStr">
        <is>
          <t>Japan</t>
        </is>
      </c>
      <c r="E581" t="n">
        <v>4877935</v>
      </c>
      <c r="F581" t="n">
        <v>2682864</v>
      </c>
      <c r="G581" t="n">
        <v>84.2923</v>
      </c>
      <c r="H581" t="n">
        <v>0.36562</v>
      </c>
      <c r="I581">
        <f>F581*H581</f>
        <v/>
      </c>
      <c r="J581">
        <f>G581*H581</f>
        <v/>
      </c>
    </row>
    <row r="582">
      <c r="A582" t="inlineStr">
        <is>
          <t>base</t>
        </is>
      </c>
      <c r="B582" t="n">
        <v>2035</v>
      </c>
      <c r="C582" t="inlineStr">
        <is>
          <t>pharma_preclinical_nam</t>
        </is>
      </c>
      <c r="D582" t="inlineStr">
        <is>
          <t>Korea</t>
        </is>
      </c>
      <c r="E582" t="n">
        <v>1980515</v>
      </c>
      <c r="F582" t="n">
        <v>1089283</v>
      </c>
      <c r="G582" t="n">
        <v>36.1253</v>
      </c>
      <c r="H582" t="n">
        <v>0.36562</v>
      </c>
      <c r="I582">
        <f>F582*H582</f>
        <v/>
      </c>
      <c r="J582">
        <f>G582*H582</f>
        <v/>
      </c>
    </row>
    <row r="583">
      <c r="A583" t="inlineStr">
        <is>
          <t>base</t>
        </is>
      </c>
      <c r="B583" t="n">
        <v>2035</v>
      </c>
      <c r="C583" t="inlineStr">
        <is>
          <t>pharma_preclinical_nam</t>
        </is>
      </c>
      <c r="D583" t="inlineStr">
        <is>
          <t>RoW</t>
        </is>
      </c>
      <c r="E583" t="n">
        <v>2934096</v>
      </c>
      <c r="F583" t="n">
        <v>1613753</v>
      </c>
      <c r="G583" t="n">
        <v>60.2088</v>
      </c>
      <c r="H583" t="n">
        <v>0.36562</v>
      </c>
      <c r="I583">
        <f>F583*H583</f>
        <v/>
      </c>
      <c r="J583">
        <f>G583*H583</f>
        <v/>
      </c>
    </row>
    <row r="584">
      <c r="A584" t="inlineStr">
        <is>
          <t>base</t>
        </is>
      </c>
      <c r="B584" t="n">
        <v>2035</v>
      </c>
      <c r="C584" t="inlineStr">
        <is>
          <t>organoid_cro_biobank</t>
        </is>
      </c>
      <c r="D584" t="inlineStr">
        <is>
          <t>US</t>
        </is>
      </c>
      <c r="E584" t="n">
        <v>9100984</v>
      </c>
      <c r="F584" t="n">
        <v>4550492</v>
      </c>
      <c r="G584" t="n">
        <v>153.9321</v>
      </c>
      <c r="H584" t="n">
        <v>0.05743</v>
      </c>
      <c r="I584">
        <f>F584*H584</f>
        <v/>
      </c>
      <c r="J584">
        <f>G584*H584</f>
        <v/>
      </c>
    </row>
    <row r="585">
      <c r="A585" t="inlineStr">
        <is>
          <t>base</t>
        </is>
      </c>
      <c r="B585" t="n">
        <v>2035</v>
      </c>
      <c r="C585" t="inlineStr">
        <is>
          <t>organoid_cro_biobank</t>
        </is>
      </c>
      <c r="D585" t="inlineStr">
        <is>
          <t>EU</t>
        </is>
      </c>
      <c r="E585" t="n">
        <v>4550492</v>
      </c>
      <c r="F585" t="n">
        <v>2275246</v>
      </c>
      <c r="G585" t="n">
        <v>76.96599999999999</v>
      </c>
      <c r="H585" t="n">
        <v>0.05743</v>
      </c>
      <c r="I585">
        <f>F585*H585</f>
        <v/>
      </c>
      <c r="J585">
        <f>G585*H585</f>
        <v/>
      </c>
    </row>
    <row r="586">
      <c r="A586" t="inlineStr">
        <is>
          <t>base</t>
        </is>
      </c>
      <c r="B586" t="n">
        <v>2035</v>
      </c>
      <c r="C586" t="inlineStr">
        <is>
          <t>organoid_cro_biobank</t>
        </is>
      </c>
      <c r="D586" t="inlineStr">
        <is>
          <t>China</t>
        </is>
      </c>
      <c r="E586" t="n">
        <v>2209947</v>
      </c>
      <c r="F586" t="n">
        <v>1104973</v>
      </c>
      <c r="G586" t="n">
        <v>84.6626</v>
      </c>
      <c r="H586" t="n">
        <v>0.05743</v>
      </c>
      <c r="I586">
        <f>F586*H586</f>
        <v/>
      </c>
      <c r="J586">
        <f>G586*H586</f>
        <v/>
      </c>
    </row>
    <row r="587">
      <c r="A587" t="inlineStr">
        <is>
          <t>base</t>
        </is>
      </c>
      <c r="B587" t="n">
        <v>2035</v>
      </c>
      <c r="C587" t="inlineStr">
        <is>
          <t>organoid_cro_biobank</t>
        </is>
      </c>
      <c r="D587" t="inlineStr">
        <is>
          <t>Japan</t>
        </is>
      </c>
      <c r="E587" t="n">
        <v>1296890</v>
      </c>
      <c r="F587" t="n">
        <v>648445</v>
      </c>
      <c r="G587" t="n">
        <v>23.0898</v>
      </c>
      <c r="H587" t="n">
        <v>0.05743</v>
      </c>
      <c r="I587">
        <f>F587*H587</f>
        <v/>
      </c>
      <c r="J587">
        <f>G587*H587</f>
        <v/>
      </c>
    </row>
    <row r="588">
      <c r="A588" t="inlineStr">
        <is>
          <t>base</t>
        </is>
      </c>
      <c r="B588" t="n">
        <v>2035</v>
      </c>
      <c r="C588" t="inlineStr">
        <is>
          <t>organoid_cro_biobank</t>
        </is>
      </c>
      <c r="D588" t="inlineStr">
        <is>
          <t>Korea</t>
        </is>
      </c>
      <c r="E588" t="n">
        <v>1023861</v>
      </c>
      <c r="F588" t="n">
        <v>511930</v>
      </c>
      <c r="G588" t="n">
        <v>19.2415</v>
      </c>
      <c r="H588" t="n">
        <v>0.05743</v>
      </c>
      <c r="I588">
        <f>F588*H588</f>
        <v/>
      </c>
      <c r="J588">
        <f>G588*H588</f>
        <v/>
      </c>
    </row>
    <row r="589">
      <c r="A589" t="inlineStr">
        <is>
          <t>base</t>
        </is>
      </c>
      <c r="B589" t="n">
        <v>2035</v>
      </c>
      <c r="C589" t="inlineStr">
        <is>
          <t>organoid_cro_biobank</t>
        </is>
      </c>
      <c r="D589" t="inlineStr">
        <is>
          <t>RoW</t>
        </is>
      </c>
      <c r="E589" t="n">
        <v>1274138</v>
      </c>
      <c r="F589" t="n">
        <v>637069</v>
      </c>
      <c r="G589" t="n">
        <v>26.9381</v>
      </c>
      <c r="H589" t="n">
        <v>0.05743</v>
      </c>
      <c r="I589">
        <f>F589*H589</f>
        <v/>
      </c>
      <c r="J589">
        <f>G589*H589</f>
        <v/>
      </c>
    </row>
    <row r="590">
      <c r="A590" t="inlineStr">
        <is>
          <t>base</t>
        </is>
      </c>
      <c r="B590" t="n">
        <v>2035</v>
      </c>
      <c r="C590" t="inlineStr">
        <is>
          <t>clinical_dx_pdo</t>
        </is>
      </c>
      <c r="D590" t="inlineStr">
        <is>
          <t>US</t>
        </is>
      </c>
      <c r="E590" t="n">
        <v>1870701</v>
      </c>
      <c r="F590" t="n">
        <v>841815</v>
      </c>
      <c r="G590" t="n">
        <v>21.3574</v>
      </c>
      <c r="H590" t="n">
        <v>0.077904</v>
      </c>
      <c r="I590">
        <f>F590*H590</f>
        <v/>
      </c>
      <c r="J590">
        <f>G590*H590</f>
        <v/>
      </c>
    </row>
    <row r="591">
      <c r="A591" t="inlineStr">
        <is>
          <t>base</t>
        </is>
      </c>
      <c r="B591" t="n">
        <v>2035</v>
      </c>
      <c r="C591" t="inlineStr">
        <is>
          <t>clinical_dx_pdo</t>
        </is>
      </c>
      <c r="D591" t="inlineStr">
        <is>
          <t>EU</t>
        </is>
      </c>
      <c r="E591" t="n">
        <v>1122421</v>
      </c>
      <c r="F591" t="n">
        <v>505089</v>
      </c>
      <c r="G591" t="n">
        <v>12.8145</v>
      </c>
      <c r="H591" t="n">
        <v>0.077904</v>
      </c>
      <c r="I591">
        <f>F591*H591</f>
        <v/>
      </c>
      <c r="J591">
        <f>G591*H591</f>
        <v/>
      </c>
    </row>
    <row r="592">
      <c r="A592" t="inlineStr">
        <is>
          <t>base</t>
        </is>
      </c>
      <c r="B592" t="n">
        <v>2035</v>
      </c>
      <c r="C592" t="inlineStr">
        <is>
          <t>clinical_dx_pdo</t>
        </is>
      </c>
      <c r="D592" t="inlineStr">
        <is>
          <t>China</t>
        </is>
      </c>
      <c r="E592" t="n">
        <v>1486646</v>
      </c>
      <c r="F592" t="n">
        <v>668991</v>
      </c>
      <c r="G592" t="n">
        <v>38.4434</v>
      </c>
      <c r="H592" t="n">
        <v>0.077904</v>
      </c>
      <c r="I592">
        <f>F592*H592</f>
        <v/>
      </c>
      <c r="J592">
        <f>G592*H592</f>
        <v/>
      </c>
    </row>
    <row r="593">
      <c r="A593" t="inlineStr">
        <is>
          <t>base</t>
        </is>
      </c>
      <c r="B593" t="n">
        <v>2035</v>
      </c>
      <c r="C593" t="inlineStr">
        <is>
          <t>clinical_dx_pdo</t>
        </is>
      </c>
      <c r="D593" t="inlineStr">
        <is>
          <t>Japan</t>
        </is>
      </c>
      <c r="E593" t="n">
        <v>426520</v>
      </c>
      <c r="F593" t="n">
        <v>191934</v>
      </c>
      <c r="G593" t="n">
        <v>5.1258</v>
      </c>
      <c r="H593" t="n">
        <v>0.077904</v>
      </c>
      <c r="I593">
        <f>F593*H593</f>
        <v/>
      </c>
      <c r="J593">
        <f>G593*H593</f>
        <v/>
      </c>
    </row>
    <row r="594">
      <c r="A594" t="inlineStr">
        <is>
          <t>base</t>
        </is>
      </c>
      <c r="B594" t="n">
        <v>2035</v>
      </c>
      <c r="C594" t="inlineStr">
        <is>
          <t>clinical_dx_pdo</t>
        </is>
      </c>
      <c r="D594" t="inlineStr">
        <is>
          <t>Korea</t>
        </is>
      </c>
      <c r="E594" t="n">
        <v>336726</v>
      </c>
      <c r="F594" t="n">
        <v>151527</v>
      </c>
      <c r="G594" t="n">
        <v>4.2715</v>
      </c>
      <c r="H594" t="n">
        <v>0.077904</v>
      </c>
      <c r="I594">
        <f>F594*H594</f>
        <v/>
      </c>
      <c r="J594">
        <f>G594*H594</f>
        <v/>
      </c>
    </row>
    <row r="595">
      <c r="A595" t="inlineStr">
        <is>
          <t>base</t>
        </is>
      </c>
      <c r="B595" t="n">
        <v>2035</v>
      </c>
      <c r="C595" t="inlineStr">
        <is>
          <t>clinical_dx_pdo</t>
        </is>
      </c>
      <c r="D595" t="inlineStr">
        <is>
          <t>RoW</t>
        </is>
      </c>
      <c r="E595" t="n">
        <v>239450</v>
      </c>
      <c r="F595" t="n">
        <v>107752</v>
      </c>
      <c r="G595" t="n">
        <v>3.4172</v>
      </c>
      <c r="H595" t="n">
        <v>0.077904</v>
      </c>
      <c r="I595">
        <f>F595*H595</f>
        <v/>
      </c>
      <c r="J595">
        <f>G595*H595</f>
        <v/>
      </c>
    </row>
    <row r="596">
      <c r="A596" t="inlineStr">
        <is>
          <t>base</t>
        </is>
      </c>
      <c r="B596" t="n">
        <v>2035</v>
      </c>
      <c r="C596" t="inlineStr">
        <is>
          <t>regenerative_gmp</t>
        </is>
      </c>
      <c r="D596" t="inlineStr">
        <is>
          <t>US</t>
        </is>
      </c>
      <c r="E596" t="n">
        <v>683410</v>
      </c>
      <c r="F596" t="n">
        <v>683410</v>
      </c>
      <c r="G596" t="n">
        <v>7.1226</v>
      </c>
      <c r="H596" t="n">
        <v>0.952803</v>
      </c>
      <c r="I596">
        <f>F596*H596</f>
        <v/>
      </c>
      <c r="J596">
        <f>G596*H596</f>
        <v/>
      </c>
    </row>
    <row r="597">
      <c r="A597" t="inlineStr">
        <is>
          <t>base</t>
        </is>
      </c>
      <c r="B597" t="n">
        <v>2035</v>
      </c>
      <c r="C597" t="inlineStr">
        <is>
          <t>regenerative_gmp</t>
        </is>
      </c>
      <c r="D597" t="inlineStr">
        <is>
          <t>EU</t>
        </is>
      </c>
      <c r="E597" t="n">
        <v>546728</v>
      </c>
      <c r="F597" t="n">
        <v>546728</v>
      </c>
      <c r="G597" t="n">
        <v>5.6981</v>
      </c>
      <c r="H597" t="n">
        <v>0.952803</v>
      </c>
      <c r="I597">
        <f>F597*H597</f>
        <v/>
      </c>
      <c r="J597">
        <f>G597*H597</f>
        <v/>
      </c>
    </row>
    <row r="598">
      <c r="A598" t="inlineStr">
        <is>
          <t>base</t>
        </is>
      </c>
      <c r="B598" t="n">
        <v>2035</v>
      </c>
      <c r="C598" t="inlineStr">
        <is>
          <t>regenerative_gmp</t>
        </is>
      </c>
      <c r="D598" t="inlineStr">
        <is>
          <t>China</t>
        </is>
      </c>
      <c r="E598" t="n">
        <v>120690</v>
      </c>
      <c r="F598" t="n">
        <v>120690</v>
      </c>
      <c r="G598" t="n">
        <v>2.8491</v>
      </c>
      <c r="H598" t="n">
        <v>0.952803</v>
      </c>
      <c r="I598">
        <f>F598*H598</f>
        <v/>
      </c>
      <c r="J598">
        <f>G598*H598</f>
        <v/>
      </c>
    </row>
    <row r="599">
      <c r="A599" t="inlineStr">
        <is>
          <t>base</t>
        </is>
      </c>
      <c r="B599" t="n">
        <v>2035</v>
      </c>
      <c r="C599" t="inlineStr">
        <is>
          <t>regenerative_gmp</t>
        </is>
      </c>
      <c r="D599" t="inlineStr">
        <is>
          <t>Japan</t>
        </is>
      </c>
      <c r="E599" t="n">
        <v>1038783</v>
      </c>
      <c r="F599" t="n">
        <v>1038783</v>
      </c>
      <c r="G599" t="n">
        <v>11.3962</v>
      </c>
      <c r="H599" t="n">
        <v>0.952803</v>
      </c>
      <c r="I599">
        <f>F599*H599</f>
        <v/>
      </c>
      <c r="J599">
        <f>G599*H599</f>
        <v/>
      </c>
    </row>
    <row r="600">
      <c r="A600" t="inlineStr">
        <is>
          <t>base</t>
        </is>
      </c>
      <c r="B600" t="n">
        <v>2035</v>
      </c>
      <c r="C600" t="inlineStr">
        <is>
          <t>regenerative_gmp</t>
        </is>
      </c>
      <c r="D600" t="inlineStr">
        <is>
          <t>Korea</t>
        </is>
      </c>
      <c r="E600" t="n">
        <v>123014</v>
      </c>
      <c r="F600" t="n">
        <v>123014</v>
      </c>
      <c r="G600" t="n">
        <v>1.4245</v>
      </c>
      <c r="H600" t="n">
        <v>0.952803</v>
      </c>
      <c r="I600">
        <f>F600*H600</f>
        <v/>
      </c>
      <c r="J600">
        <f>G600*H600</f>
        <v/>
      </c>
    </row>
    <row r="601">
      <c r="A601" t="inlineStr">
        <is>
          <t>base</t>
        </is>
      </c>
      <c r="B601" t="n">
        <v>2035</v>
      </c>
      <c r="C601" t="inlineStr">
        <is>
          <t>regenerative_gmp</t>
        </is>
      </c>
      <c r="D601" t="inlineStr">
        <is>
          <t>RoW</t>
        </is>
      </c>
      <c r="E601" t="n">
        <v>0</v>
      </c>
      <c r="F601" t="n">
        <v>0</v>
      </c>
      <c r="G601" t="n">
        <v>0</v>
      </c>
      <c r="H601" t="n">
        <v>0.952803</v>
      </c>
      <c r="I601">
        <f>F601*H601</f>
        <v/>
      </c>
      <c r="J601">
        <f>G601*H601</f>
        <v/>
      </c>
    </row>
    <row r="602">
      <c r="A602" t="inlineStr">
        <is>
          <t>bull</t>
        </is>
      </c>
      <c r="B602" t="n">
        <v>2026</v>
      </c>
      <c r="C602" t="inlineStr">
        <is>
          <t>academic_ruo</t>
        </is>
      </c>
      <c r="D602" t="inlineStr">
        <is>
          <t>US</t>
        </is>
      </c>
      <c r="E602" t="n">
        <v>7656210</v>
      </c>
      <c r="F602" t="n">
        <v>4670288</v>
      </c>
      <c r="G602" t="n">
        <v>96.81359999999999</v>
      </c>
      <c r="H602" t="n">
        <v>0.0612</v>
      </c>
      <c r="I602">
        <f>F602*H602</f>
        <v/>
      </c>
      <c r="J602">
        <f>G602*H602</f>
        <v/>
      </c>
    </row>
    <row r="603">
      <c r="A603" t="inlineStr">
        <is>
          <t>bull</t>
        </is>
      </c>
      <c r="B603" t="n">
        <v>2026</v>
      </c>
      <c r="C603" t="inlineStr">
        <is>
          <t>academic_ruo</t>
        </is>
      </c>
      <c r="D603" t="inlineStr">
        <is>
          <t>EU</t>
        </is>
      </c>
      <c r="E603" t="n">
        <v>8442167</v>
      </c>
      <c r="F603" t="n">
        <v>5149722</v>
      </c>
      <c r="G603" t="n">
        <v>106.7521</v>
      </c>
      <c r="H603" t="n">
        <v>0.0612</v>
      </c>
      <c r="I603">
        <f>F603*H603</f>
        <v/>
      </c>
      <c r="J603">
        <f>G603*H603</f>
        <v/>
      </c>
    </row>
    <row r="604">
      <c r="A604" t="inlineStr">
        <is>
          <t>bull</t>
        </is>
      </c>
      <c r="B604" t="n">
        <v>2026</v>
      </c>
      <c r="C604" t="inlineStr">
        <is>
          <t>academic_ruo</t>
        </is>
      </c>
      <c r="D604" t="inlineStr">
        <is>
          <t>China</t>
        </is>
      </c>
      <c r="E604" t="n">
        <v>4828881</v>
      </c>
      <c r="F604" t="n">
        <v>2945618</v>
      </c>
      <c r="G604" t="n">
        <v>138.3051</v>
      </c>
      <c r="H604" t="n">
        <v>0.0612</v>
      </c>
      <c r="I604">
        <f>F604*H604</f>
        <v/>
      </c>
      <c r="J604">
        <f>G604*H604</f>
        <v/>
      </c>
    </row>
    <row r="605">
      <c r="A605" t="inlineStr">
        <is>
          <t>bull</t>
        </is>
      </c>
      <c r="B605" t="n">
        <v>2026</v>
      </c>
      <c r="C605" t="inlineStr">
        <is>
          <t>academic_ruo</t>
        </is>
      </c>
      <c r="D605" t="inlineStr">
        <is>
          <t>Japan</t>
        </is>
      </c>
      <c r="E605" t="n">
        <v>1676067</v>
      </c>
      <c r="F605" t="n">
        <v>1022401</v>
      </c>
      <c r="G605" t="n">
        <v>22.3095</v>
      </c>
      <c r="H605" t="n">
        <v>0.0612</v>
      </c>
      <c r="I605">
        <f>F605*H605</f>
        <v/>
      </c>
      <c r="J605">
        <f>G605*H605</f>
        <v/>
      </c>
    </row>
    <row r="606">
      <c r="A606" t="inlineStr">
        <is>
          <t>bull</t>
        </is>
      </c>
      <c r="B606" t="n">
        <v>2026</v>
      </c>
      <c r="C606" t="inlineStr">
        <is>
          <t>academic_ruo</t>
        </is>
      </c>
      <c r="D606" t="inlineStr">
        <is>
          <t>Korea</t>
        </is>
      </c>
      <c r="E606" t="n">
        <v>1424616</v>
      </c>
      <c r="F606" t="n">
        <v>869016</v>
      </c>
      <c r="G606" t="n">
        <v>20.016</v>
      </c>
      <c r="H606" t="n">
        <v>0.0612</v>
      </c>
      <c r="I606">
        <f>F606*H606</f>
        <v/>
      </c>
      <c r="J606">
        <f>G606*H606</f>
        <v/>
      </c>
    </row>
    <row r="607">
      <c r="A607" t="inlineStr">
        <is>
          <t>bull</t>
        </is>
      </c>
      <c r="B607" t="n">
        <v>2026</v>
      </c>
      <c r="C607" t="inlineStr">
        <is>
          <t>academic_ruo</t>
        </is>
      </c>
      <c r="D607" t="inlineStr">
        <is>
          <t>RoW</t>
        </is>
      </c>
      <c r="E607" t="n">
        <v>5118064</v>
      </c>
      <c r="F607" t="n">
        <v>3122019</v>
      </c>
      <c r="G607" t="n">
        <v>80.8981</v>
      </c>
      <c r="H607" t="n">
        <v>0.0612</v>
      </c>
      <c r="I607">
        <f>F607*H607</f>
        <v/>
      </c>
      <c r="J607">
        <f>G607*H607</f>
        <v/>
      </c>
    </row>
    <row r="608">
      <c r="A608" t="inlineStr">
        <is>
          <t>bull</t>
        </is>
      </c>
      <c r="B608" t="n">
        <v>2026</v>
      </c>
      <c r="C608" t="inlineStr">
        <is>
          <t>pharma_preclinical_nam</t>
        </is>
      </c>
      <c r="D608" t="inlineStr">
        <is>
          <t>US</t>
        </is>
      </c>
      <c r="E608" t="n">
        <v>9561183</v>
      </c>
      <c r="F608" t="n">
        <v>5258651</v>
      </c>
      <c r="G608" t="n">
        <v>128.2473</v>
      </c>
      <c r="H608" t="n">
        <v>0.08466</v>
      </c>
      <c r="I608">
        <f>F608*H608</f>
        <v/>
      </c>
      <c r="J608">
        <f>G608*H608</f>
        <v/>
      </c>
    </row>
    <row r="609">
      <c r="A609" t="inlineStr">
        <is>
          <t>bull</t>
        </is>
      </c>
      <c r="B609" t="n">
        <v>2026</v>
      </c>
      <c r="C609" t="inlineStr">
        <is>
          <t>pharma_preclinical_nam</t>
        </is>
      </c>
      <c r="D609" t="inlineStr">
        <is>
          <t>EU</t>
        </is>
      </c>
      <c r="E609" t="n">
        <v>5311768</v>
      </c>
      <c r="F609" t="n">
        <v>2921473</v>
      </c>
      <c r="G609" t="n">
        <v>71.24850000000001</v>
      </c>
      <c r="H609" t="n">
        <v>0.08466</v>
      </c>
      <c r="I609">
        <f>F609*H609</f>
        <v/>
      </c>
      <c r="J609">
        <f>G609*H609</f>
        <v/>
      </c>
    </row>
    <row r="610">
      <c r="A610" t="inlineStr">
        <is>
          <t>bull</t>
        </is>
      </c>
      <c r="B610" t="n">
        <v>2026</v>
      </c>
      <c r="C610" t="inlineStr">
        <is>
          <t>pharma_preclinical_nam</t>
        </is>
      </c>
      <c r="D610" t="inlineStr">
        <is>
          <t>China</t>
        </is>
      </c>
      <c r="E610" t="n">
        <v>1407087</v>
      </c>
      <c r="F610" t="n">
        <v>773898</v>
      </c>
      <c r="G610" t="n">
        <v>42.7491</v>
      </c>
      <c r="H610" t="n">
        <v>0.08466</v>
      </c>
      <c r="I610">
        <f>F610*H610</f>
        <v/>
      </c>
      <c r="J610">
        <f>G610*H610</f>
        <v/>
      </c>
    </row>
    <row r="611">
      <c r="A611" t="inlineStr">
        <is>
          <t>bull</t>
        </is>
      </c>
      <c r="B611" t="n">
        <v>2026</v>
      </c>
      <c r="C611" t="inlineStr">
        <is>
          <t>pharma_preclinical_nam</t>
        </is>
      </c>
      <c r="D611" t="inlineStr">
        <is>
          <t>Japan</t>
        </is>
      </c>
      <c r="E611" t="n">
        <v>1412930</v>
      </c>
      <c r="F611" t="n">
        <v>777112</v>
      </c>
      <c r="G611" t="n">
        <v>19.9496</v>
      </c>
      <c r="H611" t="n">
        <v>0.08466</v>
      </c>
      <c r="I611">
        <f>F611*H611</f>
        <v/>
      </c>
      <c r="J611">
        <f>G611*H611</f>
        <v/>
      </c>
    </row>
    <row r="612">
      <c r="A612" t="inlineStr">
        <is>
          <t>bull</t>
        </is>
      </c>
      <c r="B612" t="n">
        <v>2026</v>
      </c>
      <c r="C612" t="inlineStr">
        <is>
          <t>pharma_preclinical_nam</t>
        </is>
      </c>
      <c r="D612" t="inlineStr">
        <is>
          <t>Korea</t>
        </is>
      </c>
      <c r="E612" t="n">
        <v>573671</v>
      </c>
      <c r="F612" t="n">
        <v>315519</v>
      </c>
      <c r="G612" t="n">
        <v>8.549799999999999</v>
      </c>
      <c r="H612" t="n">
        <v>0.08466</v>
      </c>
      <c r="I612">
        <f>F612*H612</f>
        <v/>
      </c>
      <c r="J612">
        <f>G612*H612</f>
        <v/>
      </c>
    </row>
    <row r="613">
      <c r="A613" t="inlineStr">
        <is>
          <t>bull</t>
        </is>
      </c>
      <c r="B613" t="n">
        <v>2026</v>
      </c>
      <c r="C613" t="inlineStr">
        <is>
          <t>pharma_preclinical_nam</t>
        </is>
      </c>
      <c r="D613" t="inlineStr">
        <is>
          <t>RoW</t>
        </is>
      </c>
      <c r="E613" t="n">
        <v>849883</v>
      </c>
      <c r="F613" t="n">
        <v>467436</v>
      </c>
      <c r="G613" t="n">
        <v>14.2497</v>
      </c>
      <c r="H613" t="n">
        <v>0.08466</v>
      </c>
      <c r="I613">
        <f>F613*H613</f>
        <v/>
      </c>
      <c r="J613">
        <f>G613*H613</f>
        <v/>
      </c>
    </row>
    <row r="614">
      <c r="A614" t="inlineStr">
        <is>
          <t>bull</t>
        </is>
      </c>
      <c r="B614" t="n">
        <v>2026</v>
      </c>
      <c r="C614" t="inlineStr">
        <is>
          <t>organoid_cro_biobank</t>
        </is>
      </c>
      <c r="D614" t="inlineStr">
        <is>
          <t>US</t>
        </is>
      </c>
      <c r="E614" t="n">
        <v>4195028</v>
      </c>
      <c r="F614" t="n">
        <v>2097514</v>
      </c>
      <c r="G614" t="n">
        <v>57.9744</v>
      </c>
      <c r="H614" t="n">
        <v>0.02754</v>
      </c>
      <c r="I614">
        <f>F614*H614</f>
        <v/>
      </c>
      <c r="J614">
        <f>G614*H614</f>
        <v/>
      </c>
    </row>
    <row r="615">
      <c r="A615" t="inlineStr">
        <is>
          <t>bull</t>
        </is>
      </c>
      <c r="B615" t="n">
        <v>2026</v>
      </c>
      <c r="C615" t="inlineStr">
        <is>
          <t>organoid_cro_biobank</t>
        </is>
      </c>
      <c r="D615" t="inlineStr">
        <is>
          <t>EU</t>
        </is>
      </c>
      <c r="E615" t="n">
        <v>2097514</v>
      </c>
      <c r="F615" t="n">
        <v>1048757</v>
      </c>
      <c r="G615" t="n">
        <v>28.9872</v>
      </c>
      <c r="H615" t="n">
        <v>0.02754</v>
      </c>
      <c r="I615">
        <f>F615*H615</f>
        <v/>
      </c>
      <c r="J615">
        <f>G615*H615</f>
        <v/>
      </c>
    </row>
    <row r="616">
      <c r="A616" t="inlineStr">
        <is>
          <t>bull</t>
        </is>
      </c>
      <c r="B616" t="n">
        <v>2026</v>
      </c>
      <c r="C616" t="inlineStr">
        <is>
          <t>organoid_cro_biobank</t>
        </is>
      </c>
      <c r="D616" t="inlineStr">
        <is>
          <t>China</t>
        </is>
      </c>
      <c r="E616" t="n">
        <v>1018658</v>
      </c>
      <c r="F616" t="n">
        <v>509329</v>
      </c>
      <c r="G616" t="n">
        <v>31.8859</v>
      </c>
      <c r="H616" t="n">
        <v>0.02754</v>
      </c>
      <c r="I616">
        <f>F616*H616</f>
        <v/>
      </c>
      <c r="J616">
        <f>G616*H616</f>
        <v/>
      </c>
    </row>
    <row r="617">
      <c r="A617" t="inlineStr">
        <is>
          <t>bull</t>
        </is>
      </c>
      <c r="B617" t="n">
        <v>2026</v>
      </c>
      <c r="C617" t="inlineStr">
        <is>
          <t>organoid_cro_biobank</t>
        </is>
      </c>
      <c r="D617" t="inlineStr">
        <is>
          <t>Japan</t>
        </is>
      </c>
      <c r="E617" t="n">
        <v>597791</v>
      </c>
      <c r="F617" t="n">
        <v>298896</v>
      </c>
      <c r="G617" t="n">
        <v>8.696199999999999</v>
      </c>
      <c r="H617" t="n">
        <v>0.02754</v>
      </c>
      <c r="I617">
        <f>F617*H617</f>
        <v/>
      </c>
      <c r="J617">
        <f>G617*H617</f>
        <v/>
      </c>
    </row>
    <row r="618">
      <c r="A618" t="inlineStr">
        <is>
          <t>bull</t>
        </is>
      </c>
      <c r="B618" t="n">
        <v>2026</v>
      </c>
      <c r="C618" t="inlineStr">
        <is>
          <t>organoid_cro_biobank</t>
        </is>
      </c>
      <c r="D618" t="inlineStr">
        <is>
          <t>Korea</t>
        </is>
      </c>
      <c r="E618" t="n">
        <v>471941</v>
      </c>
      <c r="F618" t="n">
        <v>235970</v>
      </c>
      <c r="G618" t="n">
        <v>7.2468</v>
      </c>
      <c r="H618" t="n">
        <v>0.02754</v>
      </c>
      <c r="I618">
        <f>F618*H618</f>
        <v/>
      </c>
      <c r="J618">
        <f>G618*H618</f>
        <v/>
      </c>
    </row>
    <row r="619">
      <c r="A619" t="inlineStr">
        <is>
          <t>bull</t>
        </is>
      </c>
      <c r="B619" t="n">
        <v>2026</v>
      </c>
      <c r="C619" t="inlineStr">
        <is>
          <t>organoid_cro_biobank</t>
        </is>
      </c>
      <c r="D619" t="inlineStr">
        <is>
          <t>RoW</t>
        </is>
      </c>
      <c r="E619" t="n">
        <v>587304</v>
      </c>
      <c r="F619" t="n">
        <v>293652</v>
      </c>
      <c r="G619" t="n">
        <v>10.1455</v>
      </c>
      <c r="H619" t="n">
        <v>0.02754</v>
      </c>
      <c r="I619">
        <f>F619*H619</f>
        <v/>
      </c>
      <c r="J619">
        <f>G619*H619</f>
        <v/>
      </c>
    </row>
    <row r="620">
      <c r="A620" t="inlineStr">
        <is>
          <t>bull</t>
        </is>
      </c>
      <c r="B620" t="n">
        <v>2026</v>
      </c>
      <c r="C620" t="inlineStr">
        <is>
          <t>clinical_dx_pdo</t>
        </is>
      </c>
      <c r="D620" t="inlineStr">
        <is>
          <t>US</t>
        </is>
      </c>
      <c r="E620" t="n">
        <v>422100</v>
      </c>
      <c r="F620" t="n">
        <v>189945</v>
      </c>
      <c r="G620" t="n">
        <v>3.9375</v>
      </c>
      <c r="H620" t="n">
        <v>0.03264</v>
      </c>
      <c r="I620">
        <f>F620*H620</f>
        <v/>
      </c>
      <c r="J620">
        <f>G620*H620</f>
        <v/>
      </c>
    </row>
    <row r="621">
      <c r="A621" t="inlineStr">
        <is>
          <t>bull</t>
        </is>
      </c>
      <c r="B621" t="n">
        <v>2026</v>
      </c>
      <c r="C621" t="inlineStr">
        <is>
          <t>clinical_dx_pdo</t>
        </is>
      </c>
      <c r="D621" t="inlineStr">
        <is>
          <t>EU</t>
        </is>
      </c>
      <c r="E621" t="n">
        <v>253260</v>
      </c>
      <c r="F621" t="n">
        <v>113967</v>
      </c>
      <c r="G621" t="n">
        <v>2.3625</v>
      </c>
      <c r="H621" t="n">
        <v>0.03264</v>
      </c>
      <c r="I621">
        <f>F621*H621</f>
        <v/>
      </c>
      <c r="J621">
        <f>G621*H621</f>
        <v/>
      </c>
    </row>
    <row r="622">
      <c r="A622" t="inlineStr">
        <is>
          <t>bull</t>
        </is>
      </c>
      <c r="B622" t="n">
        <v>2026</v>
      </c>
      <c r="C622" t="inlineStr">
        <is>
          <t>clinical_dx_pdo</t>
        </is>
      </c>
      <c r="D622" t="inlineStr">
        <is>
          <t>China</t>
        </is>
      </c>
      <c r="E622" t="n">
        <v>335443</v>
      </c>
      <c r="F622" t="n">
        <v>150949</v>
      </c>
      <c r="G622" t="n">
        <v>7.0875</v>
      </c>
      <c r="H622" t="n">
        <v>0.03264</v>
      </c>
      <c r="I622">
        <f>F622*H622</f>
        <v/>
      </c>
      <c r="J622">
        <f>G622*H622</f>
        <v/>
      </c>
    </row>
    <row r="623">
      <c r="A623" t="inlineStr">
        <is>
          <t>bull</t>
        </is>
      </c>
      <c r="B623" t="n">
        <v>2026</v>
      </c>
      <c r="C623" t="inlineStr">
        <is>
          <t>clinical_dx_pdo</t>
        </is>
      </c>
      <c r="D623" t="inlineStr">
        <is>
          <t>Japan</t>
        </is>
      </c>
      <c r="E623" t="n">
        <v>96239</v>
      </c>
      <c r="F623" t="n">
        <v>43307</v>
      </c>
      <c r="G623" t="n">
        <v>0.945</v>
      </c>
      <c r="H623" t="n">
        <v>0.03264</v>
      </c>
      <c r="I623">
        <f>F623*H623</f>
        <v/>
      </c>
      <c r="J623">
        <f>G623*H623</f>
        <v/>
      </c>
    </row>
    <row r="624">
      <c r="A624" t="inlineStr">
        <is>
          <t>bull</t>
        </is>
      </c>
      <c r="B624" t="n">
        <v>2026</v>
      </c>
      <c r="C624" t="inlineStr">
        <is>
          <t>clinical_dx_pdo</t>
        </is>
      </c>
      <c r="D624" t="inlineStr">
        <is>
          <t>Korea</t>
        </is>
      </c>
      <c r="E624" t="n">
        <v>75978</v>
      </c>
      <c r="F624" t="n">
        <v>34190</v>
      </c>
      <c r="G624" t="n">
        <v>0.7875</v>
      </c>
      <c r="H624" t="n">
        <v>0.03264</v>
      </c>
      <c r="I624">
        <f>F624*H624</f>
        <v/>
      </c>
      <c r="J624">
        <f>G624*H624</f>
        <v/>
      </c>
    </row>
    <row r="625">
      <c r="A625" t="inlineStr">
        <is>
          <t>bull</t>
        </is>
      </c>
      <c r="B625" t="n">
        <v>2026</v>
      </c>
      <c r="C625" t="inlineStr">
        <is>
          <t>clinical_dx_pdo</t>
        </is>
      </c>
      <c r="D625" t="inlineStr">
        <is>
          <t>RoW</t>
        </is>
      </c>
      <c r="E625" t="n">
        <v>54029</v>
      </c>
      <c r="F625" t="n">
        <v>24313</v>
      </c>
      <c r="G625" t="n">
        <v>0.63</v>
      </c>
      <c r="H625" t="n">
        <v>0.03264</v>
      </c>
      <c r="I625">
        <f>F625*H625</f>
        <v/>
      </c>
      <c r="J625">
        <f>G625*H625</f>
        <v/>
      </c>
    </row>
    <row r="626">
      <c r="A626" t="inlineStr">
        <is>
          <t>bull</t>
        </is>
      </c>
      <c r="B626" t="n">
        <v>2026</v>
      </c>
      <c r="C626" t="inlineStr">
        <is>
          <t>regenerative_gmp</t>
        </is>
      </c>
      <c r="D626" t="inlineStr">
        <is>
          <t>US</t>
        </is>
      </c>
      <c r="E626" t="n">
        <v>38752</v>
      </c>
      <c r="F626" t="n">
        <v>38752</v>
      </c>
      <c r="G626" t="n">
        <v>0.33</v>
      </c>
      <c r="H626" t="n">
        <v>0.375</v>
      </c>
      <c r="I626">
        <f>F626*H626</f>
        <v/>
      </c>
      <c r="J626">
        <f>G626*H626</f>
        <v/>
      </c>
    </row>
    <row r="627">
      <c r="A627" t="inlineStr">
        <is>
          <t>bull</t>
        </is>
      </c>
      <c r="B627" t="n">
        <v>2026</v>
      </c>
      <c r="C627" t="inlineStr">
        <is>
          <t>regenerative_gmp</t>
        </is>
      </c>
      <c r="D627" t="inlineStr">
        <is>
          <t>EU</t>
        </is>
      </c>
      <c r="E627" t="n">
        <v>31002</v>
      </c>
      <c r="F627" t="n">
        <v>31002</v>
      </c>
      <c r="G627" t="n">
        <v>0.264</v>
      </c>
      <c r="H627" t="n">
        <v>0.375</v>
      </c>
      <c r="I627">
        <f>F627*H627</f>
        <v/>
      </c>
      <c r="J627">
        <f>G627*H627</f>
        <v/>
      </c>
    </row>
    <row r="628">
      <c r="A628" t="inlineStr">
        <is>
          <t>bull</t>
        </is>
      </c>
      <c r="B628" t="n">
        <v>2026</v>
      </c>
      <c r="C628" t="inlineStr">
        <is>
          <t>regenerative_gmp</t>
        </is>
      </c>
      <c r="D628" t="inlineStr">
        <is>
          <t>China</t>
        </is>
      </c>
      <c r="E628" t="n">
        <v>6844</v>
      </c>
      <c r="F628" t="n">
        <v>6844</v>
      </c>
      <c r="G628" t="n">
        <v>0.132</v>
      </c>
      <c r="H628" t="n">
        <v>0.375</v>
      </c>
      <c r="I628">
        <f>F628*H628</f>
        <v/>
      </c>
      <c r="J628">
        <f>G628*H628</f>
        <v/>
      </c>
    </row>
    <row r="629">
      <c r="A629" t="inlineStr">
        <is>
          <t>bull</t>
        </is>
      </c>
      <c r="B629" t="n">
        <v>2026</v>
      </c>
      <c r="C629" t="inlineStr">
        <is>
          <t>regenerative_gmp</t>
        </is>
      </c>
      <c r="D629" t="inlineStr">
        <is>
          <t>Japan</t>
        </is>
      </c>
      <c r="E629" t="n">
        <v>58903</v>
      </c>
      <c r="F629" t="n">
        <v>58903</v>
      </c>
      <c r="G629" t="n">
        <v>0.528</v>
      </c>
      <c r="H629" t="n">
        <v>0.375</v>
      </c>
      <c r="I629">
        <f>F629*H629</f>
        <v/>
      </c>
      <c r="J629">
        <f>G629*H629</f>
        <v/>
      </c>
    </row>
    <row r="630">
      <c r="A630" t="inlineStr">
        <is>
          <t>bull</t>
        </is>
      </c>
      <c r="B630" t="n">
        <v>2026</v>
      </c>
      <c r="C630" t="inlineStr">
        <is>
          <t>regenerative_gmp</t>
        </is>
      </c>
      <c r="D630" t="inlineStr">
        <is>
          <t>Korea</t>
        </is>
      </c>
      <c r="E630" t="n">
        <v>6975</v>
      </c>
      <c r="F630" t="n">
        <v>6975</v>
      </c>
      <c r="G630" t="n">
        <v>0.066</v>
      </c>
      <c r="H630" t="n">
        <v>0.375</v>
      </c>
      <c r="I630">
        <f>F630*H630</f>
        <v/>
      </c>
      <c r="J630">
        <f>G630*H630</f>
        <v/>
      </c>
    </row>
    <row r="631">
      <c r="A631" t="inlineStr">
        <is>
          <t>bull</t>
        </is>
      </c>
      <c r="B631" t="n">
        <v>2026</v>
      </c>
      <c r="C631" t="inlineStr">
        <is>
          <t>regenerative_gmp</t>
        </is>
      </c>
      <c r="D631" t="inlineStr">
        <is>
          <t>RoW</t>
        </is>
      </c>
      <c r="E631" t="n">
        <v>0</v>
      </c>
      <c r="F631" t="n">
        <v>0</v>
      </c>
      <c r="G631" t="n">
        <v>0</v>
      </c>
      <c r="H631" t="n">
        <v>0.375</v>
      </c>
      <c r="I631">
        <f>F631*H631</f>
        <v/>
      </c>
      <c r="J631">
        <f>G631*H631</f>
        <v/>
      </c>
    </row>
    <row r="632">
      <c r="A632" t="inlineStr">
        <is>
          <t>bull</t>
        </is>
      </c>
      <c r="B632" t="n">
        <v>2027</v>
      </c>
      <c r="C632" t="inlineStr">
        <is>
          <t>academic_ruo</t>
        </is>
      </c>
      <c r="D632" t="inlineStr">
        <is>
          <t>US</t>
        </is>
      </c>
      <c r="E632" t="n">
        <v>8804642</v>
      </c>
      <c r="F632" t="n">
        <v>5370831</v>
      </c>
      <c r="G632" t="n">
        <v>111.3356</v>
      </c>
      <c r="H632" t="n">
        <v>0.081141</v>
      </c>
      <c r="I632">
        <f>F632*H632</f>
        <v/>
      </c>
      <c r="J632">
        <f>G632*H632</f>
        <v/>
      </c>
    </row>
    <row r="633">
      <c r="A633" t="inlineStr">
        <is>
          <t>bull</t>
        </is>
      </c>
      <c r="B633" t="n">
        <v>2027</v>
      </c>
      <c r="C633" t="inlineStr">
        <is>
          <t>academic_ruo</t>
        </is>
      </c>
      <c r="D633" t="inlineStr">
        <is>
          <t>EU</t>
        </is>
      </c>
      <c r="E633" t="n">
        <v>9708492</v>
      </c>
      <c r="F633" t="n">
        <v>5922180</v>
      </c>
      <c r="G633" t="n">
        <v>122.7649</v>
      </c>
      <c r="H633" t="n">
        <v>0.081141</v>
      </c>
      <c r="I633">
        <f>F633*H633</f>
        <v/>
      </c>
      <c r="J633">
        <f>G633*H633</f>
        <v/>
      </c>
    </row>
    <row r="634">
      <c r="A634" t="inlineStr">
        <is>
          <t>bull</t>
        </is>
      </c>
      <c r="B634" t="n">
        <v>2027</v>
      </c>
      <c r="C634" t="inlineStr">
        <is>
          <t>academic_ruo</t>
        </is>
      </c>
      <c r="D634" t="inlineStr">
        <is>
          <t>China</t>
        </is>
      </c>
      <c r="E634" t="n">
        <v>5553213</v>
      </c>
      <c r="F634" t="n">
        <v>3387460</v>
      </c>
      <c r="G634" t="n">
        <v>159.0509</v>
      </c>
      <c r="H634" t="n">
        <v>0.081141</v>
      </c>
      <c r="I634">
        <f>F634*H634</f>
        <v/>
      </c>
      <c r="J634">
        <f>G634*H634</f>
        <v/>
      </c>
    </row>
    <row r="635">
      <c r="A635" t="inlineStr">
        <is>
          <t>bull</t>
        </is>
      </c>
      <c r="B635" t="n">
        <v>2027</v>
      </c>
      <c r="C635" t="inlineStr">
        <is>
          <t>academic_ruo</t>
        </is>
      </c>
      <c r="D635" t="inlineStr">
        <is>
          <t>Japan</t>
        </is>
      </c>
      <c r="E635" t="n">
        <v>1927477</v>
      </c>
      <c r="F635" t="n">
        <v>1175761</v>
      </c>
      <c r="G635" t="n">
        <v>25.656</v>
      </c>
      <c r="H635" t="n">
        <v>0.081141</v>
      </c>
      <c r="I635">
        <f>F635*H635</f>
        <v/>
      </c>
      <c r="J635">
        <f>G635*H635</f>
        <v/>
      </c>
    </row>
    <row r="636">
      <c r="A636" t="inlineStr">
        <is>
          <t>bull</t>
        </is>
      </c>
      <c r="B636" t="n">
        <v>2027</v>
      </c>
      <c r="C636" t="inlineStr">
        <is>
          <t>academic_ruo</t>
        </is>
      </c>
      <c r="D636" t="inlineStr">
        <is>
          <t>Korea</t>
        </is>
      </c>
      <c r="E636" t="n">
        <v>1638308</v>
      </c>
      <c r="F636" t="n">
        <v>999368</v>
      </c>
      <c r="G636" t="n">
        <v>23.0184</v>
      </c>
      <c r="H636" t="n">
        <v>0.081141</v>
      </c>
      <c r="I636">
        <f>F636*H636</f>
        <v/>
      </c>
      <c r="J636">
        <f>G636*H636</f>
        <v/>
      </c>
    </row>
    <row r="637">
      <c r="A637" t="inlineStr">
        <is>
          <t>bull</t>
        </is>
      </c>
      <c r="B637" t="n">
        <v>2027</v>
      </c>
      <c r="C637" t="inlineStr">
        <is>
          <t>academic_ruo</t>
        </is>
      </c>
      <c r="D637" t="inlineStr">
        <is>
          <t>RoW</t>
        </is>
      </c>
      <c r="E637" t="n">
        <v>5885773</v>
      </c>
      <c r="F637" t="n">
        <v>3590322</v>
      </c>
      <c r="G637" t="n">
        <v>93.03279999999999</v>
      </c>
      <c r="H637" t="n">
        <v>0.081141</v>
      </c>
      <c r="I637">
        <f>F637*H637</f>
        <v/>
      </c>
      <c r="J637">
        <f>G637*H637</f>
        <v/>
      </c>
    </row>
    <row r="638">
      <c r="A638" t="inlineStr">
        <is>
          <t>bull</t>
        </is>
      </c>
      <c r="B638" t="n">
        <v>2027</v>
      </c>
      <c r="C638" t="inlineStr">
        <is>
          <t>pharma_preclinical_nam</t>
        </is>
      </c>
      <c r="D638" t="inlineStr">
        <is>
          <t>US</t>
        </is>
      </c>
      <c r="E638" t="n">
        <v>13306644</v>
      </c>
      <c r="F638" t="n">
        <v>7318654</v>
      </c>
      <c r="G638" t="n">
        <v>178.4864</v>
      </c>
      <c r="H638" t="n">
        <v>0.116493</v>
      </c>
      <c r="I638">
        <f>F638*H638</f>
        <v/>
      </c>
      <c r="J638">
        <f>G638*H638</f>
        <v/>
      </c>
    </row>
    <row r="639">
      <c r="A639" t="inlineStr">
        <is>
          <t>bull</t>
        </is>
      </c>
      <c r="B639" t="n">
        <v>2027</v>
      </c>
      <c r="C639" t="inlineStr">
        <is>
          <t>pharma_preclinical_nam</t>
        </is>
      </c>
      <c r="D639" t="inlineStr">
        <is>
          <t>EU</t>
        </is>
      </c>
      <c r="E639" t="n">
        <v>7392580</v>
      </c>
      <c r="F639" t="n">
        <v>4065919</v>
      </c>
      <c r="G639" t="n">
        <v>99.1591</v>
      </c>
      <c r="H639" t="n">
        <v>0.116493</v>
      </c>
      <c r="I639">
        <f>F639*H639</f>
        <v/>
      </c>
      <c r="J639">
        <f>G639*H639</f>
        <v/>
      </c>
    </row>
    <row r="640">
      <c r="A640" t="inlineStr">
        <is>
          <t>bull</t>
        </is>
      </c>
      <c r="B640" t="n">
        <v>2027</v>
      </c>
      <c r="C640" t="inlineStr">
        <is>
          <t>pharma_preclinical_nam</t>
        </is>
      </c>
      <c r="D640" t="inlineStr">
        <is>
          <t>China</t>
        </is>
      </c>
      <c r="E640" t="n">
        <v>1958294</v>
      </c>
      <c r="F640" t="n">
        <v>1077062</v>
      </c>
      <c r="G640" t="n">
        <v>59.4955</v>
      </c>
      <c r="H640" t="n">
        <v>0.116493</v>
      </c>
      <c r="I640">
        <f>F640*H640</f>
        <v/>
      </c>
      <c r="J640">
        <f>G640*H640</f>
        <v/>
      </c>
    </row>
    <row r="641">
      <c r="A641" t="inlineStr">
        <is>
          <t>bull</t>
        </is>
      </c>
      <c r="B641" t="n">
        <v>2027</v>
      </c>
      <c r="C641" t="inlineStr">
        <is>
          <t>pharma_preclinical_nam</t>
        </is>
      </c>
      <c r="D641" t="inlineStr">
        <is>
          <t>Japan</t>
        </is>
      </c>
      <c r="E641" t="n">
        <v>1966426</v>
      </c>
      <c r="F641" t="n">
        <v>1081534</v>
      </c>
      <c r="G641" t="n">
        <v>27.7645</v>
      </c>
      <c r="H641" t="n">
        <v>0.116493</v>
      </c>
      <c r="I641">
        <f>F641*H641</f>
        <v/>
      </c>
      <c r="J641">
        <f>G641*H641</f>
        <v/>
      </c>
    </row>
    <row r="642">
      <c r="A642" t="inlineStr">
        <is>
          <t>bull</t>
        </is>
      </c>
      <c r="B642" t="n">
        <v>2027</v>
      </c>
      <c r="C642" t="inlineStr">
        <is>
          <t>pharma_preclinical_nam</t>
        </is>
      </c>
      <c r="D642" t="inlineStr">
        <is>
          <t>Korea</t>
        </is>
      </c>
      <c r="E642" t="n">
        <v>798399</v>
      </c>
      <c r="F642" t="n">
        <v>439119</v>
      </c>
      <c r="G642" t="n">
        <v>11.8991</v>
      </c>
      <c r="H642" t="n">
        <v>0.116493</v>
      </c>
      <c r="I642">
        <f>F642*H642</f>
        <v/>
      </c>
      <c r="J642">
        <f>G642*H642</f>
        <v/>
      </c>
    </row>
    <row r="643">
      <c r="A643" t="inlineStr">
        <is>
          <t>bull</t>
        </is>
      </c>
      <c r="B643" t="n">
        <v>2027</v>
      </c>
      <c r="C643" t="inlineStr">
        <is>
          <t>pharma_preclinical_nam</t>
        </is>
      </c>
      <c r="D643" t="inlineStr">
        <is>
          <t>RoW</t>
        </is>
      </c>
      <c r="E643" t="n">
        <v>1182813</v>
      </c>
      <c r="F643" t="n">
        <v>650547</v>
      </c>
      <c r="G643" t="n">
        <v>19.8318</v>
      </c>
      <c r="H643" t="n">
        <v>0.116493</v>
      </c>
      <c r="I643">
        <f>F643*H643</f>
        <v/>
      </c>
      <c r="J643">
        <f>G643*H643</f>
        <v/>
      </c>
    </row>
    <row r="644">
      <c r="A644" t="inlineStr">
        <is>
          <t>bull</t>
        </is>
      </c>
      <c r="B644" t="n">
        <v>2027</v>
      </c>
      <c r="C644" t="inlineStr">
        <is>
          <t>organoid_cro_biobank</t>
        </is>
      </c>
      <c r="D644" t="inlineStr">
        <is>
          <t>US</t>
        </is>
      </c>
      <c r="E644" t="n">
        <v>5117934</v>
      </c>
      <c r="F644" t="n">
        <v>2558967</v>
      </c>
      <c r="G644" t="n">
        <v>70.72880000000001</v>
      </c>
      <c r="H644" t="n">
        <v>0.032985</v>
      </c>
      <c r="I644">
        <f>F644*H644</f>
        <v/>
      </c>
      <c r="J644">
        <f>G644*H644</f>
        <v/>
      </c>
    </row>
    <row r="645">
      <c r="A645" t="inlineStr">
        <is>
          <t>bull</t>
        </is>
      </c>
      <c r="B645" t="n">
        <v>2027</v>
      </c>
      <c r="C645" t="inlineStr">
        <is>
          <t>organoid_cro_biobank</t>
        </is>
      </c>
      <c r="D645" t="inlineStr">
        <is>
          <t>EU</t>
        </is>
      </c>
      <c r="E645" t="n">
        <v>2558967</v>
      </c>
      <c r="F645" t="n">
        <v>1279483</v>
      </c>
      <c r="G645" t="n">
        <v>35.3644</v>
      </c>
      <c r="H645" t="n">
        <v>0.032985</v>
      </c>
      <c r="I645">
        <f>F645*H645</f>
        <v/>
      </c>
      <c r="J645">
        <f>G645*H645</f>
        <v/>
      </c>
    </row>
    <row r="646">
      <c r="A646" t="inlineStr">
        <is>
          <t>bull</t>
        </is>
      </c>
      <c r="B646" t="n">
        <v>2027</v>
      </c>
      <c r="C646" t="inlineStr">
        <is>
          <t>organoid_cro_biobank</t>
        </is>
      </c>
      <c r="D646" t="inlineStr">
        <is>
          <t>China</t>
        </is>
      </c>
      <c r="E646" t="n">
        <v>1242762</v>
      </c>
      <c r="F646" t="n">
        <v>621381</v>
      </c>
      <c r="G646" t="n">
        <v>38.9008</v>
      </c>
      <c r="H646" t="n">
        <v>0.032985</v>
      </c>
      <c r="I646">
        <f>F646*H646</f>
        <v/>
      </c>
      <c r="J646">
        <f>G646*H646</f>
        <v/>
      </c>
    </row>
    <row r="647">
      <c r="A647" t="inlineStr">
        <is>
          <t>bull</t>
        </is>
      </c>
      <c r="B647" t="n">
        <v>2027</v>
      </c>
      <c r="C647" t="inlineStr">
        <is>
          <t>organoid_cro_biobank</t>
        </is>
      </c>
      <c r="D647" t="inlineStr">
        <is>
          <t>Japan</t>
        </is>
      </c>
      <c r="E647" t="n">
        <v>729306</v>
      </c>
      <c r="F647" t="n">
        <v>364653</v>
      </c>
      <c r="G647" t="n">
        <v>10.6093</v>
      </c>
      <c r="H647" t="n">
        <v>0.032985</v>
      </c>
      <c r="I647">
        <f>F647*H647</f>
        <v/>
      </c>
      <c r="J647">
        <f>G647*H647</f>
        <v/>
      </c>
    </row>
    <row r="648">
      <c r="A648" t="inlineStr">
        <is>
          <t>bull</t>
        </is>
      </c>
      <c r="B648" t="n">
        <v>2027</v>
      </c>
      <c r="C648" t="inlineStr">
        <is>
          <t>organoid_cro_biobank</t>
        </is>
      </c>
      <c r="D648" t="inlineStr">
        <is>
          <t>Korea</t>
        </is>
      </c>
      <c r="E648" t="n">
        <v>575768</v>
      </c>
      <c r="F648" t="n">
        <v>287884</v>
      </c>
      <c r="G648" t="n">
        <v>8.841100000000001</v>
      </c>
      <c r="H648" t="n">
        <v>0.032985</v>
      </c>
      <c r="I648">
        <f>F648*H648</f>
        <v/>
      </c>
      <c r="J648">
        <f>G648*H648</f>
        <v/>
      </c>
    </row>
    <row r="649">
      <c r="A649" t="inlineStr">
        <is>
          <t>bull</t>
        </is>
      </c>
      <c r="B649" t="n">
        <v>2027</v>
      </c>
      <c r="C649" t="inlineStr">
        <is>
          <t>organoid_cro_biobank</t>
        </is>
      </c>
      <c r="D649" t="inlineStr">
        <is>
          <t>RoW</t>
        </is>
      </c>
      <c r="E649" t="n">
        <v>716511</v>
      </c>
      <c r="F649" t="n">
        <v>358255</v>
      </c>
      <c r="G649" t="n">
        <v>12.3775</v>
      </c>
      <c r="H649" t="n">
        <v>0.032985</v>
      </c>
      <c r="I649">
        <f>F649*H649</f>
        <v/>
      </c>
      <c r="J649">
        <f>G649*H649</f>
        <v/>
      </c>
    </row>
    <row r="650">
      <c r="A650" t="inlineStr">
        <is>
          <t>bull</t>
        </is>
      </c>
      <c r="B650" t="n">
        <v>2027</v>
      </c>
      <c r="C650" t="inlineStr">
        <is>
          <t>clinical_dx_pdo</t>
        </is>
      </c>
      <c r="D650" t="inlineStr">
        <is>
          <t>US</t>
        </is>
      </c>
      <c r="E650" t="n">
        <v>590940</v>
      </c>
      <c r="F650" t="n">
        <v>265923</v>
      </c>
      <c r="G650" t="n">
        <v>5.5125</v>
      </c>
      <c r="H650" t="n">
        <v>0.039896</v>
      </c>
      <c r="I650">
        <f>F650*H650</f>
        <v/>
      </c>
      <c r="J650">
        <f>G650*H650</f>
        <v/>
      </c>
    </row>
    <row r="651">
      <c r="A651" t="inlineStr">
        <is>
          <t>bull</t>
        </is>
      </c>
      <c r="B651" t="n">
        <v>2027</v>
      </c>
      <c r="C651" t="inlineStr">
        <is>
          <t>clinical_dx_pdo</t>
        </is>
      </c>
      <c r="D651" t="inlineStr">
        <is>
          <t>EU</t>
        </is>
      </c>
      <c r="E651" t="n">
        <v>354564</v>
      </c>
      <c r="F651" t="n">
        <v>159554</v>
      </c>
      <c r="G651" t="n">
        <v>3.3075</v>
      </c>
      <c r="H651" t="n">
        <v>0.039896</v>
      </c>
      <c r="I651">
        <f>F651*H651</f>
        <v/>
      </c>
      <c r="J651">
        <f>G651*H651</f>
        <v/>
      </c>
    </row>
    <row r="652">
      <c r="A652" t="inlineStr">
        <is>
          <t>bull</t>
        </is>
      </c>
      <c r="B652" t="n">
        <v>2027</v>
      </c>
      <c r="C652" t="inlineStr">
        <is>
          <t>clinical_dx_pdo</t>
        </is>
      </c>
      <c r="D652" t="inlineStr">
        <is>
          <t>China</t>
        </is>
      </c>
      <c r="E652" t="n">
        <v>469620</v>
      </c>
      <c r="F652" t="n">
        <v>211329</v>
      </c>
      <c r="G652" t="n">
        <v>9.922499999999999</v>
      </c>
      <c r="H652" t="n">
        <v>0.039896</v>
      </c>
      <c r="I652">
        <f>F652*H652</f>
        <v/>
      </c>
      <c r="J652">
        <f>G652*H652</f>
        <v/>
      </c>
    </row>
    <row r="653">
      <c r="A653" t="inlineStr">
        <is>
          <t>bull</t>
        </is>
      </c>
      <c r="B653" t="n">
        <v>2027</v>
      </c>
      <c r="C653" t="inlineStr">
        <is>
          <t>clinical_dx_pdo</t>
        </is>
      </c>
      <c r="D653" t="inlineStr">
        <is>
          <t>Japan</t>
        </is>
      </c>
      <c r="E653" t="n">
        <v>134734</v>
      </c>
      <c r="F653" t="n">
        <v>60630</v>
      </c>
      <c r="G653" t="n">
        <v>1.323</v>
      </c>
      <c r="H653" t="n">
        <v>0.039896</v>
      </c>
      <c r="I653">
        <f>F653*H653</f>
        <v/>
      </c>
      <c r="J653">
        <f>G653*H653</f>
        <v/>
      </c>
    </row>
    <row r="654">
      <c r="A654" t="inlineStr">
        <is>
          <t>bull</t>
        </is>
      </c>
      <c r="B654" t="n">
        <v>2027</v>
      </c>
      <c r="C654" t="inlineStr">
        <is>
          <t>clinical_dx_pdo</t>
        </is>
      </c>
      <c r="D654" t="inlineStr">
        <is>
          <t>Korea</t>
        </is>
      </c>
      <c r="E654" t="n">
        <v>106369</v>
      </c>
      <c r="F654" t="n">
        <v>47866</v>
      </c>
      <c r="G654" t="n">
        <v>1.1025</v>
      </c>
      <c r="H654" t="n">
        <v>0.039896</v>
      </c>
      <c r="I654">
        <f>F654*H654</f>
        <v/>
      </c>
      <c r="J654">
        <f>G654*H654</f>
        <v/>
      </c>
    </row>
    <row r="655">
      <c r="A655" t="inlineStr">
        <is>
          <t>bull</t>
        </is>
      </c>
      <c r="B655" t="n">
        <v>2027</v>
      </c>
      <c r="C655" t="inlineStr">
        <is>
          <t>clinical_dx_pdo</t>
        </is>
      </c>
      <c r="D655" t="inlineStr">
        <is>
          <t>RoW</t>
        </is>
      </c>
      <c r="E655" t="n">
        <v>75640</v>
      </c>
      <c r="F655" t="n">
        <v>34038</v>
      </c>
      <c r="G655" t="n">
        <v>0.882</v>
      </c>
      <c r="H655" t="n">
        <v>0.039896</v>
      </c>
      <c r="I655">
        <f>F655*H655</f>
        <v/>
      </c>
      <c r="J655">
        <f>G655*H655</f>
        <v/>
      </c>
    </row>
    <row r="656">
      <c r="A656" t="inlineStr">
        <is>
          <t>bull</t>
        </is>
      </c>
      <c r="B656" t="n">
        <v>2027</v>
      </c>
      <c r="C656" t="inlineStr">
        <is>
          <t>regenerative_gmp</t>
        </is>
      </c>
      <c r="D656" t="inlineStr">
        <is>
          <t>US</t>
        </is>
      </c>
      <c r="E656" t="n">
        <v>63941</v>
      </c>
      <c r="F656" t="n">
        <v>63941</v>
      </c>
      <c r="G656" t="n">
        <v>0.5445</v>
      </c>
      <c r="H656" t="n">
        <v>0.45898</v>
      </c>
      <c r="I656">
        <f>F656*H656</f>
        <v/>
      </c>
      <c r="J656">
        <f>G656*H656</f>
        <v/>
      </c>
    </row>
    <row r="657">
      <c r="A657" t="inlineStr">
        <is>
          <t>bull</t>
        </is>
      </c>
      <c r="B657" t="n">
        <v>2027</v>
      </c>
      <c r="C657" t="inlineStr">
        <is>
          <t>regenerative_gmp</t>
        </is>
      </c>
      <c r="D657" t="inlineStr">
        <is>
          <t>EU</t>
        </is>
      </c>
      <c r="E657" t="n">
        <v>51153</v>
      </c>
      <c r="F657" t="n">
        <v>51153</v>
      </c>
      <c r="G657" t="n">
        <v>0.4356</v>
      </c>
      <c r="H657" t="n">
        <v>0.45898</v>
      </c>
      <c r="I657">
        <f>F657*H657</f>
        <v/>
      </c>
      <c r="J657">
        <f>G657*H657</f>
        <v/>
      </c>
    </row>
    <row r="658">
      <c r="A658" t="inlineStr">
        <is>
          <t>bull</t>
        </is>
      </c>
      <c r="B658" t="n">
        <v>2027</v>
      </c>
      <c r="C658" t="inlineStr">
        <is>
          <t>regenerative_gmp</t>
        </is>
      </c>
      <c r="D658" t="inlineStr">
        <is>
          <t>China</t>
        </is>
      </c>
      <c r="E658" t="n">
        <v>11292</v>
      </c>
      <c r="F658" t="n">
        <v>11292</v>
      </c>
      <c r="G658" t="n">
        <v>0.2178</v>
      </c>
      <c r="H658" t="n">
        <v>0.45898</v>
      </c>
      <c r="I658">
        <f>F658*H658</f>
        <v/>
      </c>
      <c r="J658">
        <f>G658*H658</f>
        <v/>
      </c>
    </row>
    <row r="659">
      <c r="A659" t="inlineStr">
        <is>
          <t>bull</t>
        </is>
      </c>
      <c r="B659" t="n">
        <v>2027</v>
      </c>
      <c r="C659" t="inlineStr">
        <is>
          <t>regenerative_gmp</t>
        </is>
      </c>
      <c r="D659" t="inlineStr">
        <is>
          <t>Japan</t>
        </is>
      </c>
      <c r="E659" t="n">
        <v>97190</v>
      </c>
      <c r="F659" t="n">
        <v>97190</v>
      </c>
      <c r="G659" t="n">
        <v>0.8712</v>
      </c>
      <c r="H659" t="n">
        <v>0.45898</v>
      </c>
      <c r="I659">
        <f>F659*H659</f>
        <v/>
      </c>
      <c r="J659">
        <f>G659*H659</f>
        <v/>
      </c>
    </row>
    <row r="660">
      <c r="A660" t="inlineStr">
        <is>
          <t>bull</t>
        </is>
      </c>
      <c r="B660" t="n">
        <v>2027</v>
      </c>
      <c r="C660" t="inlineStr">
        <is>
          <t>regenerative_gmp</t>
        </is>
      </c>
      <c r="D660" t="inlineStr">
        <is>
          <t>Korea</t>
        </is>
      </c>
      <c r="E660" t="n">
        <v>11509</v>
      </c>
      <c r="F660" t="n">
        <v>11509</v>
      </c>
      <c r="G660" t="n">
        <v>0.1089</v>
      </c>
      <c r="H660" t="n">
        <v>0.45898</v>
      </c>
      <c r="I660">
        <f>F660*H660</f>
        <v/>
      </c>
      <c r="J660">
        <f>G660*H660</f>
        <v/>
      </c>
    </row>
    <row r="661">
      <c r="A661" t="inlineStr">
        <is>
          <t>bull</t>
        </is>
      </c>
      <c r="B661" t="n">
        <v>2027</v>
      </c>
      <c r="C661" t="inlineStr">
        <is>
          <t>regenerative_gmp</t>
        </is>
      </c>
      <c r="D661" t="inlineStr">
        <is>
          <t>RoW</t>
        </is>
      </c>
      <c r="E661" t="n">
        <v>0</v>
      </c>
      <c r="F661" t="n">
        <v>0</v>
      </c>
      <c r="G661" t="n">
        <v>0</v>
      </c>
      <c r="H661" t="n">
        <v>0.45898</v>
      </c>
      <c r="I661">
        <f>F661*H661</f>
        <v/>
      </c>
      <c r="J661">
        <f>G661*H661</f>
        <v/>
      </c>
    </row>
    <row r="662">
      <c r="A662" t="inlineStr">
        <is>
          <t>bull</t>
        </is>
      </c>
      <c r="B662" t="n">
        <v>2028</v>
      </c>
      <c r="C662" t="inlineStr">
        <is>
          <t>academic_ruo</t>
        </is>
      </c>
      <c r="D662" t="inlineStr">
        <is>
          <t>US</t>
        </is>
      </c>
      <c r="E662" t="n">
        <v>10125338</v>
      </c>
      <c r="F662" t="n">
        <v>6176456</v>
      </c>
      <c r="G662" t="n">
        <v>128.036</v>
      </c>
      <c r="H662" t="n">
        <v>0.106462</v>
      </c>
      <c r="I662">
        <f>F662*H662</f>
        <v/>
      </c>
      <c r="J662">
        <f>G662*H662</f>
        <v/>
      </c>
    </row>
    <row r="663">
      <c r="A663" t="inlineStr">
        <is>
          <t>bull</t>
        </is>
      </c>
      <c r="B663" t="n">
        <v>2028</v>
      </c>
      <c r="C663" t="inlineStr">
        <is>
          <t>academic_ruo</t>
        </is>
      </c>
      <c r="D663" t="inlineStr">
        <is>
          <t>EU</t>
        </is>
      </c>
      <c r="E663" t="n">
        <v>11164766</v>
      </c>
      <c r="F663" t="n">
        <v>6810507</v>
      </c>
      <c r="G663" t="n">
        <v>141.1797</v>
      </c>
      <c r="H663" t="n">
        <v>0.106462</v>
      </c>
      <c r="I663">
        <f>F663*H663</f>
        <v/>
      </c>
      <c r="J663">
        <f>G663*H663</f>
        <v/>
      </c>
    </row>
    <row r="664">
      <c r="A664" t="inlineStr">
        <is>
          <t>bull</t>
        </is>
      </c>
      <c r="B664" t="n">
        <v>2028</v>
      </c>
      <c r="C664" t="inlineStr">
        <is>
          <t>academic_ruo</t>
        </is>
      </c>
      <c r="D664" t="inlineStr">
        <is>
          <t>China</t>
        </is>
      </c>
      <c r="E664" t="n">
        <v>6386195</v>
      </c>
      <c r="F664" t="n">
        <v>3895579</v>
      </c>
      <c r="G664" t="n">
        <v>182.9086</v>
      </c>
      <c r="H664" t="n">
        <v>0.106462</v>
      </c>
      <c r="I664">
        <f>F664*H664</f>
        <v/>
      </c>
      <c r="J664">
        <f>G664*H664</f>
        <v/>
      </c>
    </row>
    <row r="665">
      <c r="A665" t="inlineStr">
        <is>
          <t>bull</t>
        </is>
      </c>
      <c r="B665" t="n">
        <v>2028</v>
      </c>
      <c r="C665" t="inlineStr">
        <is>
          <t>academic_ruo</t>
        </is>
      </c>
      <c r="D665" t="inlineStr">
        <is>
          <t>Japan</t>
        </is>
      </c>
      <c r="E665" t="n">
        <v>2216599</v>
      </c>
      <c r="F665" t="n">
        <v>1352125</v>
      </c>
      <c r="G665" t="n">
        <v>29.5043</v>
      </c>
      <c r="H665" t="n">
        <v>0.106462</v>
      </c>
      <c r="I665">
        <f>F665*H665</f>
        <v/>
      </c>
      <c r="J665">
        <f>G665*H665</f>
        <v/>
      </c>
    </row>
    <row r="666">
      <c r="A666" t="inlineStr">
        <is>
          <t>bull</t>
        </is>
      </c>
      <c r="B666" t="n">
        <v>2028</v>
      </c>
      <c r="C666" t="inlineStr">
        <is>
          <t>academic_ruo</t>
        </is>
      </c>
      <c r="D666" t="inlineStr">
        <is>
          <t>Korea</t>
        </is>
      </c>
      <c r="E666" t="n">
        <v>1884054</v>
      </c>
      <c r="F666" t="n">
        <v>1149273</v>
      </c>
      <c r="G666" t="n">
        <v>26.4712</v>
      </c>
      <c r="H666" t="n">
        <v>0.106462</v>
      </c>
      <c r="I666">
        <f>F666*H666</f>
        <v/>
      </c>
      <c r="J666">
        <f>G666*H666</f>
        <v/>
      </c>
    </row>
    <row r="667">
      <c r="A667" t="inlineStr">
        <is>
          <t>bull</t>
        </is>
      </c>
      <c r="B667" t="n">
        <v>2028</v>
      </c>
      <c r="C667" t="inlineStr">
        <is>
          <t>academic_ruo</t>
        </is>
      </c>
      <c r="D667" t="inlineStr">
        <is>
          <t>RoW</t>
        </is>
      </c>
      <c r="E667" t="n">
        <v>6768639</v>
      </c>
      <c r="F667" t="n">
        <v>4128870</v>
      </c>
      <c r="G667" t="n">
        <v>106.9877</v>
      </c>
      <c r="H667" t="n">
        <v>0.106462</v>
      </c>
      <c r="I667">
        <f>F667*H667</f>
        <v/>
      </c>
      <c r="J667">
        <f>G667*H667</f>
        <v/>
      </c>
    </row>
    <row r="668">
      <c r="A668" t="inlineStr">
        <is>
          <t>bull</t>
        </is>
      </c>
      <c r="B668" t="n">
        <v>2028</v>
      </c>
      <c r="C668" t="inlineStr">
        <is>
          <t>pharma_preclinical_nam</t>
        </is>
      </c>
      <c r="D668" t="inlineStr">
        <is>
          <t>US</t>
        </is>
      </c>
      <c r="E668" t="n">
        <v>18519338</v>
      </c>
      <c r="F668" t="n">
        <v>10185636</v>
      </c>
      <c r="G668" t="n">
        <v>248.4059</v>
      </c>
      <c r="H668" t="n">
        <v>0.157137</v>
      </c>
      <c r="I668">
        <f>F668*H668</f>
        <v/>
      </c>
      <c r="J668">
        <f>G668*H668</f>
        <v/>
      </c>
    </row>
    <row r="669">
      <c r="A669" t="inlineStr">
        <is>
          <t>bull</t>
        </is>
      </c>
      <c r="B669" t="n">
        <v>2028</v>
      </c>
      <c r="C669" t="inlineStr">
        <is>
          <t>pharma_preclinical_nam</t>
        </is>
      </c>
      <c r="D669" t="inlineStr">
        <is>
          <t>EU</t>
        </is>
      </c>
      <c r="E669" t="n">
        <v>10288521</v>
      </c>
      <c r="F669" t="n">
        <v>5658687</v>
      </c>
      <c r="G669" t="n">
        <v>138.0033</v>
      </c>
      <c r="H669" t="n">
        <v>0.157137</v>
      </c>
      <c r="I669">
        <f>F669*H669</f>
        <v/>
      </c>
      <c r="J669">
        <f>G669*H669</f>
        <v/>
      </c>
    </row>
    <row r="670">
      <c r="A670" t="inlineStr">
        <is>
          <t>bull</t>
        </is>
      </c>
      <c r="B670" t="n">
        <v>2028</v>
      </c>
      <c r="C670" t="inlineStr">
        <is>
          <t>pharma_preclinical_nam</t>
        </is>
      </c>
      <c r="D670" t="inlineStr">
        <is>
          <t>China</t>
        </is>
      </c>
      <c r="E670" t="n">
        <v>2725429</v>
      </c>
      <c r="F670" t="n">
        <v>1498986</v>
      </c>
      <c r="G670" t="n">
        <v>82.80200000000001</v>
      </c>
      <c r="H670" t="n">
        <v>0.157137</v>
      </c>
      <c r="I670">
        <f>F670*H670</f>
        <v/>
      </c>
      <c r="J670">
        <f>G670*H670</f>
        <v/>
      </c>
    </row>
    <row r="671">
      <c r="A671" t="inlineStr">
        <is>
          <t>bull</t>
        </is>
      </c>
      <c r="B671" t="n">
        <v>2028</v>
      </c>
      <c r="C671" t="inlineStr">
        <is>
          <t>pharma_preclinical_nam</t>
        </is>
      </c>
      <c r="D671" t="inlineStr">
        <is>
          <t>Japan</t>
        </is>
      </c>
      <c r="E671" t="n">
        <v>2736747</v>
      </c>
      <c r="F671" t="n">
        <v>1505211</v>
      </c>
      <c r="G671" t="n">
        <v>38.6409</v>
      </c>
      <c r="H671" t="n">
        <v>0.157137</v>
      </c>
      <c r="I671">
        <f>F671*H671</f>
        <v/>
      </c>
      <c r="J671">
        <f>G671*H671</f>
        <v/>
      </c>
    </row>
    <row r="672">
      <c r="A672" t="inlineStr">
        <is>
          <t>bull</t>
        </is>
      </c>
      <c r="B672" t="n">
        <v>2028</v>
      </c>
      <c r="C672" t="inlineStr">
        <is>
          <t>pharma_preclinical_nam</t>
        </is>
      </c>
      <c r="D672" t="inlineStr">
        <is>
          <t>Korea</t>
        </is>
      </c>
      <c r="E672" t="n">
        <v>1111160</v>
      </c>
      <c r="F672" t="n">
        <v>611138</v>
      </c>
      <c r="G672" t="n">
        <v>16.5604</v>
      </c>
      <c r="H672" t="n">
        <v>0.157137</v>
      </c>
      <c r="I672">
        <f>F672*H672</f>
        <v/>
      </c>
      <c r="J672">
        <f>G672*H672</f>
        <v/>
      </c>
    </row>
    <row r="673">
      <c r="A673" t="inlineStr">
        <is>
          <t>bull</t>
        </is>
      </c>
      <c r="B673" t="n">
        <v>2028</v>
      </c>
      <c r="C673" t="inlineStr">
        <is>
          <t>pharma_preclinical_nam</t>
        </is>
      </c>
      <c r="D673" t="inlineStr">
        <is>
          <t>RoW</t>
        </is>
      </c>
      <c r="E673" t="n">
        <v>1646163</v>
      </c>
      <c r="F673" t="n">
        <v>905390</v>
      </c>
      <c r="G673" t="n">
        <v>27.6007</v>
      </c>
      <c r="H673" t="n">
        <v>0.157137</v>
      </c>
      <c r="I673">
        <f>F673*H673</f>
        <v/>
      </c>
      <c r="J673">
        <f>G673*H673</f>
        <v/>
      </c>
    </row>
    <row r="674">
      <c r="A674" t="inlineStr">
        <is>
          <t>bull</t>
        </is>
      </c>
      <c r="B674" t="n">
        <v>2028</v>
      </c>
      <c r="C674" t="inlineStr">
        <is>
          <t>organoid_cro_biobank</t>
        </is>
      </c>
      <c r="D674" t="inlineStr">
        <is>
          <t>US</t>
        </is>
      </c>
      <c r="E674" t="n">
        <v>6243879</v>
      </c>
      <c r="F674" t="n">
        <v>3121940</v>
      </c>
      <c r="G674" t="n">
        <v>86.2891</v>
      </c>
      <c r="H674" t="n">
        <v>0.039441</v>
      </c>
      <c r="I674">
        <f>F674*H674</f>
        <v/>
      </c>
      <c r="J674">
        <f>G674*H674</f>
        <v/>
      </c>
    </row>
    <row r="675">
      <c r="A675" t="inlineStr">
        <is>
          <t>bull</t>
        </is>
      </c>
      <c r="B675" t="n">
        <v>2028</v>
      </c>
      <c r="C675" t="inlineStr">
        <is>
          <t>organoid_cro_biobank</t>
        </is>
      </c>
      <c r="D675" t="inlineStr">
        <is>
          <t>EU</t>
        </is>
      </c>
      <c r="E675" t="n">
        <v>3121940</v>
      </c>
      <c r="F675" t="n">
        <v>1560970</v>
      </c>
      <c r="G675" t="n">
        <v>43.1445</v>
      </c>
      <c r="H675" t="n">
        <v>0.039441</v>
      </c>
      <c r="I675">
        <f>F675*H675</f>
        <v/>
      </c>
      <c r="J675">
        <f>G675*H675</f>
        <v/>
      </c>
    </row>
    <row r="676">
      <c r="A676" t="inlineStr">
        <is>
          <t>bull</t>
        </is>
      </c>
      <c r="B676" t="n">
        <v>2028</v>
      </c>
      <c r="C676" t="inlineStr">
        <is>
          <t>organoid_cro_biobank</t>
        </is>
      </c>
      <c r="D676" t="inlineStr">
        <is>
          <t>China</t>
        </is>
      </c>
      <c r="E676" t="n">
        <v>1516170</v>
      </c>
      <c r="F676" t="n">
        <v>758085</v>
      </c>
      <c r="G676" t="n">
        <v>47.459</v>
      </c>
      <c r="H676" t="n">
        <v>0.039441</v>
      </c>
      <c r="I676">
        <f>F676*H676</f>
        <v/>
      </c>
      <c r="J676">
        <f>G676*H676</f>
        <v/>
      </c>
    </row>
    <row r="677">
      <c r="A677" t="inlineStr">
        <is>
          <t>bull</t>
        </is>
      </c>
      <c r="B677" t="n">
        <v>2028</v>
      </c>
      <c r="C677" t="inlineStr">
        <is>
          <t>organoid_cro_biobank</t>
        </is>
      </c>
      <c r="D677" t="inlineStr">
        <is>
          <t>Japan</t>
        </is>
      </c>
      <c r="E677" t="n">
        <v>889753</v>
      </c>
      <c r="F677" t="n">
        <v>444876</v>
      </c>
      <c r="G677" t="n">
        <v>12.9434</v>
      </c>
      <c r="H677" t="n">
        <v>0.039441</v>
      </c>
      <c r="I677">
        <f>F677*H677</f>
        <v/>
      </c>
      <c r="J677">
        <f>G677*H677</f>
        <v/>
      </c>
    </row>
    <row r="678">
      <c r="A678" t="inlineStr">
        <is>
          <t>bull</t>
        </is>
      </c>
      <c r="B678" t="n">
        <v>2028</v>
      </c>
      <c r="C678" t="inlineStr">
        <is>
          <t>organoid_cro_biobank</t>
        </is>
      </c>
      <c r="D678" t="inlineStr">
        <is>
          <t>Korea</t>
        </is>
      </c>
      <c r="E678" t="n">
        <v>702436</v>
      </c>
      <c r="F678" t="n">
        <v>351218</v>
      </c>
      <c r="G678" t="n">
        <v>10.7861</v>
      </c>
      <c r="H678" t="n">
        <v>0.039441</v>
      </c>
      <c r="I678">
        <f>F678*H678</f>
        <v/>
      </c>
      <c r="J678">
        <f>G678*H678</f>
        <v/>
      </c>
    </row>
    <row r="679">
      <c r="A679" t="inlineStr">
        <is>
          <t>bull</t>
        </is>
      </c>
      <c r="B679" t="n">
        <v>2028</v>
      </c>
      <c r="C679" t="inlineStr">
        <is>
          <t>organoid_cro_biobank</t>
        </is>
      </c>
      <c r="D679" t="inlineStr">
        <is>
          <t>RoW</t>
        </is>
      </c>
      <c r="E679" t="n">
        <v>874143</v>
      </c>
      <c r="F679" t="n">
        <v>437072</v>
      </c>
      <c r="G679" t="n">
        <v>15.1006</v>
      </c>
      <c r="H679" t="n">
        <v>0.039441</v>
      </c>
      <c r="I679">
        <f>F679*H679</f>
        <v/>
      </c>
      <c r="J679">
        <f>G679*H679</f>
        <v/>
      </c>
    </row>
    <row r="680">
      <c r="A680" t="inlineStr">
        <is>
          <t>bull</t>
        </is>
      </c>
      <c r="B680" t="n">
        <v>2028</v>
      </c>
      <c r="C680" t="inlineStr">
        <is>
          <t>clinical_dx_pdo</t>
        </is>
      </c>
      <c r="D680" t="inlineStr">
        <is>
          <t>US</t>
        </is>
      </c>
      <c r="E680" t="n">
        <v>827316</v>
      </c>
      <c r="F680" t="n">
        <v>372292</v>
      </c>
      <c r="G680" t="n">
        <v>7.7175</v>
      </c>
      <c r="H680" t="n">
        <v>0.048643</v>
      </c>
      <c r="I680">
        <f>F680*H680</f>
        <v/>
      </c>
      <c r="J680">
        <f>G680*H680</f>
        <v/>
      </c>
    </row>
    <row r="681">
      <c r="A681" t="inlineStr">
        <is>
          <t>bull</t>
        </is>
      </c>
      <c r="B681" t="n">
        <v>2028</v>
      </c>
      <c r="C681" t="inlineStr">
        <is>
          <t>clinical_dx_pdo</t>
        </is>
      </c>
      <c r="D681" t="inlineStr">
        <is>
          <t>EU</t>
        </is>
      </c>
      <c r="E681" t="n">
        <v>496390</v>
      </c>
      <c r="F681" t="n">
        <v>223375</v>
      </c>
      <c r="G681" t="n">
        <v>4.6305</v>
      </c>
      <c r="H681" t="n">
        <v>0.048643</v>
      </c>
      <c r="I681">
        <f>F681*H681</f>
        <v/>
      </c>
      <c r="J681">
        <f>G681*H681</f>
        <v/>
      </c>
    </row>
    <row r="682">
      <c r="A682" t="inlineStr">
        <is>
          <t>bull</t>
        </is>
      </c>
      <c r="B682" t="n">
        <v>2028</v>
      </c>
      <c r="C682" t="inlineStr">
        <is>
          <t>clinical_dx_pdo</t>
        </is>
      </c>
      <c r="D682" t="inlineStr">
        <is>
          <t>China</t>
        </is>
      </c>
      <c r="E682" t="n">
        <v>657468</v>
      </c>
      <c r="F682" t="n">
        <v>295861</v>
      </c>
      <c r="G682" t="n">
        <v>13.8915</v>
      </c>
      <c r="H682" t="n">
        <v>0.048643</v>
      </c>
      <c r="I682">
        <f>F682*H682</f>
        <v/>
      </c>
      <c r="J682">
        <f>G682*H682</f>
        <v/>
      </c>
    </row>
    <row r="683">
      <c r="A683" t="inlineStr">
        <is>
          <t>bull</t>
        </is>
      </c>
      <c r="B683" t="n">
        <v>2028</v>
      </c>
      <c r="C683" t="inlineStr">
        <is>
          <t>clinical_dx_pdo</t>
        </is>
      </c>
      <c r="D683" t="inlineStr">
        <is>
          <t>Japan</t>
        </is>
      </c>
      <c r="E683" t="n">
        <v>188628</v>
      </c>
      <c r="F683" t="n">
        <v>84883</v>
      </c>
      <c r="G683" t="n">
        <v>1.8522</v>
      </c>
      <c r="H683" t="n">
        <v>0.048643</v>
      </c>
      <c r="I683">
        <f>F683*H683</f>
        <v/>
      </c>
      <c r="J683">
        <f>G683*H683</f>
        <v/>
      </c>
    </row>
    <row r="684">
      <c r="A684" t="inlineStr">
        <is>
          <t>bull</t>
        </is>
      </c>
      <c r="B684" t="n">
        <v>2028</v>
      </c>
      <c r="C684" t="inlineStr">
        <is>
          <t>clinical_dx_pdo</t>
        </is>
      </c>
      <c r="D684" t="inlineStr">
        <is>
          <t>Korea</t>
        </is>
      </c>
      <c r="E684" t="n">
        <v>148917</v>
      </c>
      <c r="F684" t="n">
        <v>67013</v>
      </c>
      <c r="G684" t="n">
        <v>1.5435</v>
      </c>
      <c r="H684" t="n">
        <v>0.048643</v>
      </c>
      <c r="I684">
        <f>F684*H684</f>
        <v/>
      </c>
      <c r="J684">
        <f>G684*H684</f>
        <v/>
      </c>
    </row>
    <row r="685">
      <c r="A685" t="inlineStr">
        <is>
          <t>bull</t>
        </is>
      </c>
      <c r="B685" t="n">
        <v>2028</v>
      </c>
      <c r="C685" t="inlineStr">
        <is>
          <t>clinical_dx_pdo</t>
        </is>
      </c>
      <c r="D685" t="inlineStr">
        <is>
          <t>RoW</t>
        </is>
      </c>
      <c r="E685" t="n">
        <v>105896</v>
      </c>
      <c r="F685" t="n">
        <v>47653</v>
      </c>
      <c r="G685" t="n">
        <v>1.2348</v>
      </c>
      <c r="H685" t="n">
        <v>0.048643</v>
      </c>
      <c r="I685">
        <f>F685*H685</f>
        <v/>
      </c>
      <c r="J685">
        <f>G685*H685</f>
        <v/>
      </c>
    </row>
    <row r="686">
      <c r="A686" t="inlineStr">
        <is>
          <t>bull</t>
        </is>
      </c>
      <c r="B686" t="n">
        <v>2028</v>
      </c>
      <c r="C686" t="inlineStr">
        <is>
          <t>regenerative_gmp</t>
        </is>
      </c>
      <c r="D686" t="inlineStr">
        <is>
          <t>US</t>
        </is>
      </c>
      <c r="E686" t="n">
        <v>105502</v>
      </c>
      <c r="F686" t="n">
        <v>105502</v>
      </c>
      <c r="G686" t="n">
        <v>0.8984</v>
      </c>
      <c r="H686" t="n">
        <v>0.545357</v>
      </c>
      <c r="I686">
        <f>F686*H686</f>
        <v/>
      </c>
      <c r="J686">
        <f>G686*H686</f>
        <v/>
      </c>
    </row>
    <row r="687">
      <c r="A687" t="inlineStr">
        <is>
          <t>bull</t>
        </is>
      </c>
      <c r="B687" t="n">
        <v>2028</v>
      </c>
      <c r="C687" t="inlineStr">
        <is>
          <t>regenerative_gmp</t>
        </is>
      </c>
      <c r="D687" t="inlineStr">
        <is>
          <t>EU</t>
        </is>
      </c>
      <c r="E687" t="n">
        <v>84402</v>
      </c>
      <c r="F687" t="n">
        <v>84402</v>
      </c>
      <c r="G687" t="n">
        <v>0.7187</v>
      </c>
      <c r="H687" t="n">
        <v>0.545357</v>
      </c>
      <c r="I687">
        <f>F687*H687</f>
        <v/>
      </c>
      <c r="J687">
        <f>G687*H687</f>
        <v/>
      </c>
    </row>
    <row r="688">
      <c r="A688" t="inlineStr">
        <is>
          <t>bull</t>
        </is>
      </c>
      <c r="B688" t="n">
        <v>2028</v>
      </c>
      <c r="C688" t="inlineStr">
        <is>
          <t>regenerative_gmp</t>
        </is>
      </c>
      <c r="D688" t="inlineStr">
        <is>
          <t>China</t>
        </is>
      </c>
      <c r="E688" t="n">
        <v>18632</v>
      </c>
      <c r="F688" t="n">
        <v>18632</v>
      </c>
      <c r="G688" t="n">
        <v>0.3594</v>
      </c>
      <c r="H688" t="n">
        <v>0.545357</v>
      </c>
      <c r="I688">
        <f>F688*H688</f>
        <v/>
      </c>
      <c r="J688">
        <f>G688*H688</f>
        <v/>
      </c>
    </row>
    <row r="689">
      <c r="A689" t="inlineStr">
        <is>
          <t>bull</t>
        </is>
      </c>
      <c r="B689" t="n">
        <v>2028</v>
      </c>
      <c r="C689" t="inlineStr">
        <is>
          <t>regenerative_gmp</t>
        </is>
      </c>
      <c r="D689" t="inlineStr">
        <is>
          <t>Japan</t>
        </is>
      </c>
      <c r="E689" t="n">
        <v>160363</v>
      </c>
      <c r="F689" t="n">
        <v>160363</v>
      </c>
      <c r="G689" t="n">
        <v>1.4375</v>
      </c>
      <c r="H689" t="n">
        <v>0.545357</v>
      </c>
      <c r="I689">
        <f>F689*H689</f>
        <v/>
      </c>
      <c r="J689">
        <f>G689*H689</f>
        <v/>
      </c>
    </row>
    <row r="690">
      <c r="A690" t="inlineStr">
        <is>
          <t>bull</t>
        </is>
      </c>
      <c r="B690" t="n">
        <v>2028</v>
      </c>
      <c r="C690" t="inlineStr">
        <is>
          <t>regenerative_gmp</t>
        </is>
      </c>
      <c r="D690" t="inlineStr">
        <is>
          <t>Korea</t>
        </is>
      </c>
      <c r="E690" t="n">
        <v>18990</v>
      </c>
      <c r="F690" t="n">
        <v>18990</v>
      </c>
      <c r="G690" t="n">
        <v>0.1797</v>
      </c>
      <c r="H690" t="n">
        <v>0.545357</v>
      </c>
      <c r="I690">
        <f>F690*H690</f>
        <v/>
      </c>
      <c r="J690">
        <f>G690*H690</f>
        <v/>
      </c>
    </row>
    <row r="691">
      <c r="A691" t="inlineStr">
        <is>
          <t>bull</t>
        </is>
      </c>
      <c r="B691" t="n">
        <v>2028</v>
      </c>
      <c r="C691" t="inlineStr">
        <is>
          <t>regenerative_gmp</t>
        </is>
      </c>
      <c r="D691" t="inlineStr">
        <is>
          <t>RoW</t>
        </is>
      </c>
      <c r="E691" t="n">
        <v>0</v>
      </c>
      <c r="F691" t="n">
        <v>0</v>
      </c>
      <c r="G691" t="n">
        <v>0</v>
      </c>
      <c r="H691" t="n">
        <v>0.545357</v>
      </c>
      <c r="I691">
        <f>F691*H691</f>
        <v/>
      </c>
      <c r="J691">
        <f>G691*H691</f>
        <v/>
      </c>
    </row>
    <row r="692">
      <c r="A692" t="inlineStr">
        <is>
          <t>bull</t>
        </is>
      </c>
      <c r="B692" t="n">
        <v>2029</v>
      </c>
      <c r="C692" t="inlineStr">
        <is>
          <t>academic_ruo</t>
        </is>
      </c>
      <c r="D692" t="inlineStr">
        <is>
          <t>US</t>
        </is>
      </c>
      <c r="E692" t="n">
        <v>11644139</v>
      </c>
      <c r="F692" t="n">
        <v>7102925</v>
      </c>
      <c r="G692" t="n">
        <v>147.2414</v>
      </c>
      <c r="H692" t="n">
        <v>0.137864</v>
      </c>
      <c r="I692">
        <f>F692*H692</f>
        <v/>
      </c>
      <c r="J692">
        <f>G692*H692</f>
        <v/>
      </c>
    </row>
    <row r="693">
      <c r="A693" t="inlineStr">
        <is>
          <t>bull</t>
        </is>
      </c>
      <c r="B693" t="n">
        <v>2029</v>
      </c>
      <c r="C693" t="inlineStr">
        <is>
          <t>academic_ruo</t>
        </is>
      </c>
      <c r="D693" t="inlineStr">
        <is>
          <t>EU</t>
        </is>
      </c>
      <c r="E693" t="n">
        <v>12839481</v>
      </c>
      <c r="F693" t="n">
        <v>7832083</v>
      </c>
      <c r="G693" t="n">
        <v>162.3566</v>
      </c>
      <c r="H693" t="n">
        <v>0.137864</v>
      </c>
      <c r="I693">
        <f>F693*H693</f>
        <v/>
      </c>
      <c r="J693">
        <f>G693*H693</f>
        <v/>
      </c>
    </row>
    <row r="694">
      <c r="A694" t="inlineStr">
        <is>
          <t>bull</t>
        </is>
      </c>
      <c r="B694" t="n">
        <v>2029</v>
      </c>
      <c r="C694" t="inlineStr">
        <is>
          <t>academic_ruo</t>
        </is>
      </c>
      <c r="D694" t="inlineStr">
        <is>
          <t>China</t>
        </is>
      </c>
      <c r="E694" t="n">
        <v>7344125</v>
      </c>
      <c r="F694" t="n">
        <v>4479916</v>
      </c>
      <c r="G694" t="n">
        <v>210.3448</v>
      </c>
      <c r="H694" t="n">
        <v>0.137864</v>
      </c>
      <c r="I694">
        <f>F694*H694</f>
        <v/>
      </c>
      <c r="J694">
        <f>G694*H694</f>
        <v/>
      </c>
    </row>
    <row r="695">
      <c r="A695" t="inlineStr">
        <is>
          <t>bull</t>
        </is>
      </c>
      <c r="B695" t="n">
        <v>2029</v>
      </c>
      <c r="C695" t="inlineStr">
        <is>
          <t>academic_ruo</t>
        </is>
      </c>
      <c r="D695" t="inlineStr">
        <is>
          <t>Japan</t>
        </is>
      </c>
      <c r="E695" t="n">
        <v>2549088</v>
      </c>
      <c r="F695" t="n">
        <v>1554944</v>
      </c>
      <c r="G695" t="n">
        <v>33.93</v>
      </c>
      <c r="H695" t="n">
        <v>0.137864</v>
      </c>
      <c r="I695">
        <f>F695*H695</f>
        <v/>
      </c>
      <c r="J695">
        <f>G695*H695</f>
        <v/>
      </c>
    </row>
    <row r="696">
      <c r="A696" t="inlineStr">
        <is>
          <t>bull</t>
        </is>
      </c>
      <c r="B696" t="n">
        <v>2029</v>
      </c>
      <c r="C696" t="inlineStr">
        <is>
          <t>academic_ruo</t>
        </is>
      </c>
      <c r="D696" t="inlineStr">
        <is>
          <t>Korea</t>
        </is>
      </c>
      <c r="E696" t="n">
        <v>2166662</v>
      </c>
      <c r="F696" t="n">
        <v>1321664</v>
      </c>
      <c r="G696" t="n">
        <v>30.4419</v>
      </c>
      <c r="H696" t="n">
        <v>0.137864</v>
      </c>
      <c r="I696">
        <f>F696*H696</f>
        <v/>
      </c>
      <c r="J696">
        <f>G696*H696</f>
        <v/>
      </c>
    </row>
    <row r="697">
      <c r="A697" t="inlineStr">
        <is>
          <t>bull</t>
        </is>
      </c>
      <c r="B697" t="n">
        <v>2029</v>
      </c>
      <c r="C697" t="inlineStr">
        <is>
          <t>academic_ruo</t>
        </is>
      </c>
      <c r="D697" t="inlineStr">
        <is>
          <t>RoW</t>
        </is>
      </c>
      <c r="E697" t="n">
        <v>7783935</v>
      </c>
      <c r="F697" t="n">
        <v>4748201</v>
      </c>
      <c r="G697" t="n">
        <v>123.0359</v>
      </c>
      <c r="H697" t="n">
        <v>0.137864</v>
      </c>
      <c r="I697">
        <f>F697*H697</f>
        <v/>
      </c>
      <c r="J697">
        <f>G697*H697</f>
        <v/>
      </c>
    </row>
    <row r="698">
      <c r="A698" t="inlineStr">
        <is>
          <t>bull</t>
        </is>
      </c>
      <c r="B698" t="n">
        <v>2029</v>
      </c>
      <c r="C698" t="inlineStr">
        <is>
          <t>pharma_preclinical_nam</t>
        </is>
      </c>
      <c r="D698" t="inlineStr">
        <is>
          <t>US</t>
        </is>
      </c>
      <c r="E698" t="n">
        <v>25774032</v>
      </c>
      <c r="F698" t="n">
        <v>14175718</v>
      </c>
      <c r="G698" t="n">
        <v>345.7155</v>
      </c>
      <c r="H698" t="n">
        <v>0.206758</v>
      </c>
      <c r="I698">
        <f>F698*H698</f>
        <v/>
      </c>
      <c r="J698">
        <f>G698*H698</f>
        <v/>
      </c>
    </row>
    <row r="699">
      <c r="A699" t="inlineStr">
        <is>
          <t>bull</t>
        </is>
      </c>
      <c r="B699" t="n">
        <v>2029</v>
      </c>
      <c r="C699" t="inlineStr">
        <is>
          <t>pharma_preclinical_nam</t>
        </is>
      </c>
      <c r="D699" t="inlineStr">
        <is>
          <t>EU</t>
        </is>
      </c>
      <c r="E699" t="n">
        <v>14318907</v>
      </c>
      <c r="F699" t="n">
        <v>7875399</v>
      </c>
      <c r="G699" t="n">
        <v>192.0642</v>
      </c>
      <c r="H699" t="n">
        <v>0.206758</v>
      </c>
      <c r="I699">
        <f>F699*H699</f>
        <v/>
      </c>
      <c r="J699">
        <f>G699*H699</f>
        <v/>
      </c>
    </row>
    <row r="700">
      <c r="A700" t="inlineStr">
        <is>
          <t>bull</t>
        </is>
      </c>
      <c r="B700" t="n">
        <v>2029</v>
      </c>
      <c r="C700" t="inlineStr">
        <is>
          <t>pharma_preclinical_nam</t>
        </is>
      </c>
      <c r="D700" t="inlineStr">
        <is>
          <t>China</t>
        </is>
      </c>
      <c r="E700" t="n">
        <v>3793078</v>
      </c>
      <c r="F700" t="n">
        <v>2086193</v>
      </c>
      <c r="G700" t="n">
        <v>115.2385</v>
      </c>
      <c r="H700" t="n">
        <v>0.206758</v>
      </c>
      <c r="I700">
        <f>F700*H700</f>
        <v/>
      </c>
      <c r="J700">
        <f>G700*H700</f>
        <v/>
      </c>
    </row>
    <row r="701">
      <c r="A701" t="inlineStr">
        <is>
          <t>bull</t>
        </is>
      </c>
      <c r="B701" t="n">
        <v>2029</v>
      </c>
      <c r="C701" t="inlineStr">
        <is>
          <t>pharma_preclinical_nam</t>
        </is>
      </c>
      <c r="D701" t="inlineStr">
        <is>
          <t>Japan</t>
        </is>
      </c>
      <c r="E701" t="n">
        <v>3808829</v>
      </c>
      <c r="F701" t="n">
        <v>2094856</v>
      </c>
      <c r="G701" t="n">
        <v>53.778</v>
      </c>
      <c r="H701" t="n">
        <v>0.206758</v>
      </c>
      <c r="I701">
        <f>F701*H701</f>
        <v/>
      </c>
      <c r="J701">
        <f>G701*H701</f>
        <v/>
      </c>
    </row>
    <row r="702">
      <c r="A702" t="inlineStr">
        <is>
          <t>bull</t>
        </is>
      </c>
      <c r="B702" t="n">
        <v>2029</v>
      </c>
      <c r="C702" t="inlineStr">
        <is>
          <t>pharma_preclinical_nam</t>
        </is>
      </c>
      <c r="D702" t="inlineStr">
        <is>
          <t>Korea</t>
        </is>
      </c>
      <c r="E702" t="n">
        <v>1546442</v>
      </c>
      <c r="F702" t="n">
        <v>850543</v>
      </c>
      <c r="G702" t="n">
        <v>23.0477</v>
      </c>
      <c r="H702" t="n">
        <v>0.206758</v>
      </c>
      <c r="I702">
        <f>F702*H702</f>
        <v/>
      </c>
      <c r="J702">
        <f>G702*H702</f>
        <v/>
      </c>
    </row>
    <row r="703">
      <c r="A703" t="inlineStr">
        <is>
          <t>bull</t>
        </is>
      </c>
      <c r="B703" t="n">
        <v>2029</v>
      </c>
      <c r="C703" t="inlineStr">
        <is>
          <t>pharma_preclinical_nam</t>
        </is>
      </c>
      <c r="D703" t="inlineStr">
        <is>
          <t>RoW</t>
        </is>
      </c>
      <c r="E703" t="n">
        <v>2291025</v>
      </c>
      <c r="F703" t="n">
        <v>1260064</v>
      </c>
      <c r="G703" t="n">
        <v>38.4128</v>
      </c>
      <c r="H703" t="n">
        <v>0.206758</v>
      </c>
      <c r="I703">
        <f>F703*H703</f>
        <v/>
      </c>
      <c r="J703">
        <f>G703*H703</f>
        <v/>
      </c>
    </row>
    <row r="704">
      <c r="A704" t="inlineStr">
        <is>
          <t>bull</t>
        </is>
      </c>
      <c r="B704" t="n">
        <v>2029</v>
      </c>
      <c r="C704" t="inlineStr">
        <is>
          <t>organoid_cro_biobank</t>
        </is>
      </c>
      <c r="D704" t="inlineStr">
        <is>
          <t>US</t>
        </is>
      </c>
      <c r="E704" t="n">
        <v>7617532</v>
      </c>
      <c r="F704" t="n">
        <v>3808766</v>
      </c>
      <c r="G704" t="n">
        <v>105.2727</v>
      </c>
      <c r="H704" t="n">
        <v>0.047068</v>
      </c>
      <c r="I704">
        <f>F704*H704</f>
        <v/>
      </c>
      <c r="J704">
        <f>G704*H704</f>
        <v/>
      </c>
    </row>
    <row r="705">
      <c r="A705" t="inlineStr">
        <is>
          <t>bull</t>
        </is>
      </c>
      <c r="B705" t="n">
        <v>2029</v>
      </c>
      <c r="C705" t="inlineStr">
        <is>
          <t>organoid_cro_biobank</t>
        </is>
      </c>
      <c r="D705" t="inlineStr">
        <is>
          <t>EU</t>
        </is>
      </c>
      <c r="E705" t="n">
        <v>3808766</v>
      </c>
      <c r="F705" t="n">
        <v>1904383</v>
      </c>
      <c r="G705" t="n">
        <v>52.6363</v>
      </c>
      <c r="H705" t="n">
        <v>0.047068</v>
      </c>
      <c r="I705">
        <f>F705*H705</f>
        <v/>
      </c>
      <c r="J705">
        <f>G705*H705</f>
        <v/>
      </c>
    </row>
    <row r="706">
      <c r="A706" t="inlineStr">
        <is>
          <t>bull</t>
        </is>
      </c>
      <c r="B706" t="n">
        <v>2029</v>
      </c>
      <c r="C706" t="inlineStr">
        <is>
          <t>organoid_cro_biobank</t>
        </is>
      </c>
      <c r="D706" t="inlineStr">
        <is>
          <t>China</t>
        </is>
      </c>
      <c r="E706" t="n">
        <v>1849727</v>
      </c>
      <c r="F706" t="n">
        <v>924864</v>
      </c>
      <c r="G706" t="n">
        <v>57.9</v>
      </c>
      <c r="H706" t="n">
        <v>0.047068</v>
      </c>
      <c r="I706">
        <f>F706*H706</f>
        <v/>
      </c>
      <c r="J706">
        <f>G706*H706</f>
        <v/>
      </c>
    </row>
    <row r="707">
      <c r="A707" t="inlineStr">
        <is>
          <t>bull</t>
        </is>
      </c>
      <c r="B707" t="n">
        <v>2029</v>
      </c>
      <c r="C707" t="inlineStr">
        <is>
          <t>organoid_cro_biobank</t>
        </is>
      </c>
      <c r="D707" t="inlineStr">
        <is>
          <t>Japan</t>
        </is>
      </c>
      <c r="E707" t="n">
        <v>1085498</v>
      </c>
      <c r="F707" t="n">
        <v>542749</v>
      </c>
      <c r="G707" t="n">
        <v>15.7909</v>
      </c>
      <c r="H707" t="n">
        <v>0.047068</v>
      </c>
      <c r="I707">
        <f>F707*H707</f>
        <v/>
      </c>
      <c r="J707">
        <f>G707*H707</f>
        <v/>
      </c>
    </row>
    <row r="708">
      <c r="A708" t="inlineStr">
        <is>
          <t>bull</t>
        </is>
      </c>
      <c r="B708" t="n">
        <v>2029</v>
      </c>
      <c r="C708" t="inlineStr">
        <is>
          <t>organoid_cro_biobank</t>
        </is>
      </c>
      <c r="D708" t="inlineStr">
        <is>
          <t>Korea</t>
        </is>
      </c>
      <c r="E708" t="n">
        <v>856972</v>
      </c>
      <c r="F708" t="n">
        <v>428486</v>
      </c>
      <c r="G708" t="n">
        <v>13.1591</v>
      </c>
      <c r="H708" t="n">
        <v>0.047068</v>
      </c>
      <c r="I708">
        <f>F708*H708</f>
        <v/>
      </c>
      <c r="J708">
        <f>G708*H708</f>
        <v/>
      </c>
    </row>
    <row r="709">
      <c r="A709" t="inlineStr">
        <is>
          <t>bull</t>
        </is>
      </c>
      <c r="B709" t="n">
        <v>2029</v>
      </c>
      <c r="C709" t="inlineStr">
        <is>
          <t>organoid_cro_biobank</t>
        </is>
      </c>
      <c r="D709" t="inlineStr">
        <is>
          <t>RoW</t>
        </is>
      </c>
      <c r="E709" t="n">
        <v>1066455</v>
      </c>
      <c r="F709" t="n">
        <v>533227</v>
      </c>
      <c r="G709" t="n">
        <v>18.4227</v>
      </c>
      <c r="H709" t="n">
        <v>0.047068</v>
      </c>
      <c r="I709">
        <f>F709*H709</f>
        <v/>
      </c>
      <c r="J709">
        <f>G709*H709</f>
        <v/>
      </c>
    </row>
    <row r="710">
      <c r="A710" t="inlineStr">
        <is>
          <t>bull</t>
        </is>
      </c>
      <c r="B710" t="n">
        <v>2029</v>
      </c>
      <c r="C710" t="inlineStr">
        <is>
          <t>clinical_dx_pdo</t>
        </is>
      </c>
      <c r="D710" t="inlineStr">
        <is>
          <t>US</t>
        </is>
      </c>
      <c r="E710" t="n">
        <v>1158242</v>
      </c>
      <c r="F710" t="n">
        <v>521209</v>
      </c>
      <c r="G710" t="n">
        <v>10.8045</v>
      </c>
      <c r="H710" t="n">
        <v>0.059132</v>
      </c>
      <c r="I710">
        <f>F710*H710</f>
        <v/>
      </c>
      <c r="J710">
        <f>G710*H710</f>
        <v/>
      </c>
    </row>
    <row r="711">
      <c r="A711" t="inlineStr">
        <is>
          <t>bull</t>
        </is>
      </c>
      <c r="B711" t="n">
        <v>2029</v>
      </c>
      <c r="C711" t="inlineStr">
        <is>
          <t>clinical_dx_pdo</t>
        </is>
      </c>
      <c r="D711" t="inlineStr">
        <is>
          <t>EU</t>
        </is>
      </c>
      <c r="E711" t="n">
        <v>694945</v>
      </c>
      <c r="F711" t="n">
        <v>312725</v>
      </c>
      <c r="G711" t="n">
        <v>6.4827</v>
      </c>
      <c r="H711" t="n">
        <v>0.059132</v>
      </c>
      <c r="I711">
        <f>F711*H711</f>
        <v/>
      </c>
      <c r="J711">
        <f>G711*H711</f>
        <v/>
      </c>
    </row>
    <row r="712">
      <c r="A712" t="inlineStr">
        <is>
          <t>bull</t>
        </is>
      </c>
      <c r="B712" t="n">
        <v>2029</v>
      </c>
      <c r="C712" t="inlineStr">
        <is>
          <t>clinical_dx_pdo</t>
        </is>
      </c>
      <c r="D712" t="inlineStr">
        <is>
          <t>China</t>
        </is>
      </c>
      <c r="E712" t="n">
        <v>920455</v>
      </c>
      <c r="F712" t="n">
        <v>414205</v>
      </c>
      <c r="G712" t="n">
        <v>19.4481</v>
      </c>
      <c r="H712" t="n">
        <v>0.059132</v>
      </c>
      <c r="I712">
        <f>F712*H712</f>
        <v/>
      </c>
      <c r="J712">
        <f>G712*H712</f>
        <v/>
      </c>
    </row>
    <row r="713">
      <c r="A713" t="inlineStr">
        <is>
          <t>bull</t>
        </is>
      </c>
      <c r="B713" t="n">
        <v>2029</v>
      </c>
      <c r="C713" t="inlineStr">
        <is>
          <t>clinical_dx_pdo</t>
        </is>
      </c>
      <c r="D713" t="inlineStr">
        <is>
          <t>Japan</t>
        </is>
      </c>
      <c r="E713" t="n">
        <v>264079</v>
      </c>
      <c r="F713" t="n">
        <v>118836</v>
      </c>
      <c r="G713" t="n">
        <v>2.5931</v>
      </c>
      <c r="H713" t="n">
        <v>0.059132</v>
      </c>
      <c r="I713">
        <f>F713*H713</f>
        <v/>
      </c>
      <c r="J713">
        <f>G713*H713</f>
        <v/>
      </c>
    </row>
    <row r="714">
      <c r="A714" t="inlineStr">
        <is>
          <t>bull</t>
        </is>
      </c>
      <c r="B714" t="n">
        <v>2029</v>
      </c>
      <c r="C714" t="inlineStr">
        <is>
          <t>clinical_dx_pdo</t>
        </is>
      </c>
      <c r="D714" t="inlineStr">
        <is>
          <t>Korea</t>
        </is>
      </c>
      <c r="E714" t="n">
        <v>208484</v>
      </c>
      <c r="F714" t="n">
        <v>93818</v>
      </c>
      <c r="G714" t="n">
        <v>2.1609</v>
      </c>
      <c r="H714" t="n">
        <v>0.059132</v>
      </c>
      <c r="I714">
        <f>F714*H714</f>
        <v/>
      </c>
      <c r="J714">
        <f>G714*H714</f>
        <v/>
      </c>
    </row>
    <row r="715">
      <c r="A715" t="inlineStr">
        <is>
          <t>bull</t>
        </is>
      </c>
      <c r="B715" t="n">
        <v>2029</v>
      </c>
      <c r="C715" t="inlineStr">
        <is>
          <t>clinical_dx_pdo</t>
        </is>
      </c>
      <c r="D715" t="inlineStr">
        <is>
          <t>RoW</t>
        </is>
      </c>
      <c r="E715" t="n">
        <v>148255</v>
      </c>
      <c r="F715" t="n">
        <v>66715</v>
      </c>
      <c r="G715" t="n">
        <v>1.7287</v>
      </c>
      <c r="H715" t="n">
        <v>0.059132</v>
      </c>
      <c r="I715">
        <f>F715*H715</f>
        <v/>
      </c>
      <c r="J715">
        <f>G715*H715</f>
        <v/>
      </c>
    </row>
    <row r="716">
      <c r="A716" t="inlineStr">
        <is>
          <t>bull</t>
        </is>
      </c>
      <c r="B716" t="n">
        <v>2029</v>
      </c>
      <c r="C716" t="inlineStr">
        <is>
          <t>regenerative_gmp</t>
        </is>
      </c>
      <c r="D716" t="inlineStr">
        <is>
          <t>US</t>
        </is>
      </c>
      <c r="E716" t="n">
        <v>174078</v>
      </c>
      <c r="F716" t="n">
        <v>174078</v>
      </c>
      <c r="G716" t="n">
        <v>1.4824</v>
      </c>
      <c r="H716" t="n">
        <v>0.629087</v>
      </c>
      <c r="I716">
        <f>F716*H716</f>
        <v/>
      </c>
      <c r="J716">
        <f>G716*H716</f>
        <v/>
      </c>
    </row>
    <row r="717">
      <c r="A717" t="inlineStr">
        <is>
          <t>bull</t>
        </is>
      </c>
      <c r="B717" t="n">
        <v>2029</v>
      </c>
      <c r="C717" t="inlineStr">
        <is>
          <t>regenerative_gmp</t>
        </is>
      </c>
      <c r="D717" t="inlineStr">
        <is>
          <t>EU</t>
        </is>
      </c>
      <c r="E717" t="n">
        <v>139263</v>
      </c>
      <c r="F717" t="n">
        <v>139263</v>
      </c>
      <c r="G717" t="n">
        <v>1.1859</v>
      </c>
      <c r="H717" t="n">
        <v>0.629087</v>
      </c>
      <c r="I717">
        <f>F717*H717</f>
        <v/>
      </c>
      <c r="J717">
        <f>G717*H717</f>
        <v/>
      </c>
    </row>
    <row r="718">
      <c r="A718" t="inlineStr">
        <is>
          <t>bull</t>
        </is>
      </c>
      <c r="B718" t="n">
        <v>2029</v>
      </c>
      <c r="C718" t="inlineStr">
        <is>
          <t>regenerative_gmp</t>
        </is>
      </c>
      <c r="D718" t="inlineStr">
        <is>
          <t>China</t>
        </is>
      </c>
      <c r="E718" t="n">
        <v>30742</v>
      </c>
      <c r="F718" t="n">
        <v>30742</v>
      </c>
      <c r="G718" t="n">
        <v>0.593</v>
      </c>
      <c r="H718" t="n">
        <v>0.629087</v>
      </c>
      <c r="I718">
        <f>F718*H718</f>
        <v/>
      </c>
      <c r="J718">
        <f>G718*H718</f>
        <v/>
      </c>
    </row>
    <row r="719">
      <c r="A719" t="inlineStr">
        <is>
          <t>bull</t>
        </is>
      </c>
      <c r="B719" t="n">
        <v>2029</v>
      </c>
      <c r="C719" t="inlineStr">
        <is>
          <t>regenerative_gmp</t>
        </is>
      </c>
      <c r="D719" t="inlineStr">
        <is>
          <t>Japan</t>
        </is>
      </c>
      <c r="E719" t="n">
        <v>264599</v>
      </c>
      <c r="F719" t="n">
        <v>264599</v>
      </c>
      <c r="G719" t="n">
        <v>2.3718</v>
      </c>
      <c r="H719" t="n">
        <v>0.629087</v>
      </c>
      <c r="I719">
        <f>F719*H719</f>
        <v/>
      </c>
      <c r="J719">
        <f>G719*H719</f>
        <v/>
      </c>
    </row>
    <row r="720">
      <c r="A720" t="inlineStr">
        <is>
          <t>bull</t>
        </is>
      </c>
      <c r="B720" t="n">
        <v>2029</v>
      </c>
      <c r="C720" t="inlineStr">
        <is>
          <t>regenerative_gmp</t>
        </is>
      </c>
      <c r="D720" t="inlineStr">
        <is>
          <t>Korea</t>
        </is>
      </c>
      <c r="E720" t="n">
        <v>31334</v>
      </c>
      <c r="F720" t="n">
        <v>31334</v>
      </c>
      <c r="G720" t="n">
        <v>0.2965</v>
      </c>
      <c r="H720" t="n">
        <v>0.629087</v>
      </c>
      <c r="I720">
        <f>F720*H720</f>
        <v/>
      </c>
      <c r="J720">
        <f>G720*H720</f>
        <v/>
      </c>
    </row>
    <row r="721">
      <c r="A721" t="inlineStr">
        <is>
          <t>bull</t>
        </is>
      </c>
      <c r="B721" t="n">
        <v>2029</v>
      </c>
      <c r="C721" t="inlineStr">
        <is>
          <t>regenerative_gmp</t>
        </is>
      </c>
      <c r="D721" t="inlineStr">
        <is>
          <t>RoW</t>
        </is>
      </c>
      <c r="E721" t="n">
        <v>0</v>
      </c>
      <c r="F721" t="n">
        <v>0</v>
      </c>
      <c r="G721" t="n">
        <v>0</v>
      </c>
      <c r="H721" t="n">
        <v>0.629087</v>
      </c>
      <c r="I721">
        <f>F721*H721</f>
        <v/>
      </c>
      <c r="J721">
        <f>G721*H721</f>
        <v/>
      </c>
    </row>
    <row r="722">
      <c r="A722" t="inlineStr">
        <is>
          <t>bull</t>
        </is>
      </c>
      <c r="B722" t="n">
        <v>2030</v>
      </c>
      <c r="C722" t="inlineStr">
        <is>
          <t>academic_ruo</t>
        </is>
      </c>
      <c r="D722" t="inlineStr">
        <is>
          <t>US</t>
        </is>
      </c>
      <c r="E722" t="n">
        <v>13390760</v>
      </c>
      <c r="F722" t="n">
        <v>8168363</v>
      </c>
      <c r="G722" t="n">
        <v>169.3276</v>
      </c>
      <c r="H722" t="n">
        <v>0.175693</v>
      </c>
      <c r="I722">
        <f>F722*H722</f>
        <v/>
      </c>
      <c r="J722">
        <f>G722*H722</f>
        <v/>
      </c>
    </row>
    <row r="723">
      <c r="A723" t="inlineStr">
        <is>
          <t>bull</t>
        </is>
      </c>
      <c r="B723" t="n">
        <v>2030</v>
      </c>
      <c r="C723" t="inlineStr">
        <is>
          <t>academic_ruo</t>
        </is>
      </c>
      <c r="D723" t="inlineStr">
        <is>
          <t>EU</t>
        </is>
      </c>
      <c r="E723" t="n">
        <v>14765403</v>
      </c>
      <c r="F723" t="n">
        <v>9006896</v>
      </c>
      <c r="G723" t="n">
        <v>186.7101</v>
      </c>
      <c r="H723" t="n">
        <v>0.175693</v>
      </c>
      <c r="I723">
        <f>F723*H723</f>
        <v/>
      </c>
      <c r="J723">
        <f>G723*H723</f>
        <v/>
      </c>
    </row>
    <row r="724">
      <c r="A724" t="inlineStr">
        <is>
          <t>bull</t>
        </is>
      </c>
      <c r="B724" t="n">
        <v>2030</v>
      </c>
      <c r="C724" t="inlineStr">
        <is>
          <t>academic_ruo</t>
        </is>
      </c>
      <c r="D724" t="inlineStr">
        <is>
          <t>China</t>
        </is>
      </c>
      <c r="E724" t="n">
        <v>8445743</v>
      </c>
      <c r="F724" t="n">
        <v>5151903</v>
      </c>
      <c r="G724" t="n">
        <v>241.8966</v>
      </c>
      <c r="H724" t="n">
        <v>0.175693</v>
      </c>
      <c r="I724">
        <f>F724*H724</f>
        <v/>
      </c>
      <c r="J724">
        <f>G724*H724</f>
        <v/>
      </c>
    </row>
    <row r="725">
      <c r="A725" t="inlineStr">
        <is>
          <t>bull</t>
        </is>
      </c>
      <c r="B725" t="n">
        <v>2030</v>
      </c>
      <c r="C725" t="inlineStr">
        <is>
          <t>academic_ruo</t>
        </is>
      </c>
      <c r="D725" t="inlineStr">
        <is>
          <t>Japan</t>
        </is>
      </c>
      <c r="E725" t="n">
        <v>2931452</v>
      </c>
      <c r="F725" t="n">
        <v>1788186</v>
      </c>
      <c r="G725" t="n">
        <v>39.0195</v>
      </c>
      <c r="H725" t="n">
        <v>0.175693</v>
      </c>
      <c r="I725">
        <f>F725*H725</f>
        <v/>
      </c>
      <c r="J725">
        <f>G725*H725</f>
        <v/>
      </c>
    </row>
    <row r="726">
      <c r="A726" t="inlineStr">
        <is>
          <t>bull</t>
        </is>
      </c>
      <c r="B726" t="n">
        <v>2030</v>
      </c>
      <c r="C726" t="inlineStr">
        <is>
          <t>academic_ruo</t>
        </is>
      </c>
      <c r="D726" t="inlineStr">
        <is>
          <t>Korea</t>
        </is>
      </c>
      <c r="E726" t="n">
        <v>2491662</v>
      </c>
      <c r="F726" t="n">
        <v>1519914</v>
      </c>
      <c r="G726" t="n">
        <v>35.0081</v>
      </c>
      <c r="H726" t="n">
        <v>0.175693</v>
      </c>
      <c r="I726">
        <f>F726*H726</f>
        <v/>
      </c>
      <c r="J726">
        <f>G726*H726</f>
        <v/>
      </c>
    </row>
    <row r="727">
      <c r="A727" t="inlineStr">
        <is>
          <t>bull</t>
        </is>
      </c>
      <c r="B727" t="n">
        <v>2030</v>
      </c>
      <c r="C727" t="inlineStr">
        <is>
          <t>academic_ruo</t>
        </is>
      </c>
      <c r="D727" t="inlineStr">
        <is>
          <t>RoW</t>
        </is>
      </c>
      <c r="E727" t="n">
        <v>8951526</v>
      </c>
      <c r="F727" t="n">
        <v>5460431</v>
      </c>
      <c r="G727" t="n">
        <v>141.4913</v>
      </c>
      <c r="H727" t="n">
        <v>0.175693</v>
      </c>
      <c r="I727">
        <f>F727*H727</f>
        <v/>
      </c>
      <c r="J727">
        <f>G727*H727</f>
        <v/>
      </c>
    </row>
    <row r="728">
      <c r="A728" t="inlineStr">
        <is>
          <t>bull</t>
        </is>
      </c>
      <c r="B728" t="n">
        <v>2030</v>
      </c>
      <c r="C728" t="inlineStr">
        <is>
          <t>pharma_preclinical_nam</t>
        </is>
      </c>
      <c r="D728" t="inlineStr">
        <is>
          <t>US</t>
        </is>
      </c>
      <c r="E728" t="n">
        <v>35870653</v>
      </c>
      <c r="F728" t="n">
        <v>19728859</v>
      </c>
      <c r="G728" t="n">
        <v>481.1447</v>
      </c>
      <c r="H728" t="n">
        <v>0.264133</v>
      </c>
      <c r="I728">
        <f>F728*H728</f>
        <v/>
      </c>
      <c r="J728">
        <f>G728*H728</f>
        <v/>
      </c>
    </row>
    <row r="729">
      <c r="A729" t="inlineStr">
        <is>
          <t>bull</t>
        </is>
      </c>
      <c r="B729" t="n">
        <v>2030</v>
      </c>
      <c r="C729" t="inlineStr">
        <is>
          <t>pharma_preclinical_nam</t>
        </is>
      </c>
      <c r="D729" t="inlineStr">
        <is>
          <t>EU</t>
        </is>
      </c>
      <c r="E729" t="n">
        <v>19928140</v>
      </c>
      <c r="F729" t="n">
        <v>10960477</v>
      </c>
      <c r="G729" t="n">
        <v>267.3026</v>
      </c>
      <c r="H729" t="n">
        <v>0.264133</v>
      </c>
      <c r="I729">
        <f>F729*H729</f>
        <v/>
      </c>
      <c r="J729">
        <f>G729*H729</f>
        <v/>
      </c>
    </row>
    <row r="730">
      <c r="A730" t="inlineStr">
        <is>
          <t>bull</t>
        </is>
      </c>
      <c r="B730" t="n">
        <v>2030</v>
      </c>
      <c r="C730" t="inlineStr">
        <is>
          <t>pharma_preclinical_nam</t>
        </is>
      </c>
      <c r="D730" t="inlineStr">
        <is>
          <t>China</t>
        </is>
      </c>
      <c r="E730" t="n">
        <v>5278964</v>
      </c>
      <c r="F730" t="n">
        <v>2903430</v>
      </c>
      <c r="G730" t="n">
        <v>160.3816</v>
      </c>
      <c r="H730" t="n">
        <v>0.264133</v>
      </c>
      <c r="I730">
        <f>F730*H730</f>
        <v/>
      </c>
      <c r="J730">
        <f>G730*H730</f>
        <v/>
      </c>
    </row>
    <row r="731">
      <c r="A731" t="inlineStr">
        <is>
          <t>bull</t>
        </is>
      </c>
      <c r="B731" t="n">
        <v>2030</v>
      </c>
      <c r="C731" t="inlineStr">
        <is>
          <t>pharma_preclinical_nam</t>
        </is>
      </c>
      <c r="D731" t="inlineStr">
        <is>
          <t>Japan</t>
        </is>
      </c>
      <c r="E731" t="n">
        <v>5300885</v>
      </c>
      <c r="F731" t="n">
        <v>2915487</v>
      </c>
      <c r="G731" t="n">
        <v>74.8447</v>
      </c>
      <c r="H731" t="n">
        <v>0.264133</v>
      </c>
      <c r="I731">
        <f>F731*H731</f>
        <v/>
      </c>
      <c r="J731">
        <f>G731*H731</f>
        <v/>
      </c>
    </row>
    <row r="732">
      <c r="A732" t="inlineStr">
        <is>
          <t>bull</t>
        </is>
      </c>
      <c r="B732" t="n">
        <v>2030</v>
      </c>
      <c r="C732" t="inlineStr">
        <is>
          <t>pharma_preclinical_nam</t>
        </is>
      </c>
      <c r="D732" t="inlineStr">
        <is>
          <t>Korea</t>
        </is>
      </c>
      <c r="E732" t="n">
        <v>2152239</v>
      </c>
      <c r="F732" t="n">
        <v>1183732</v>
      </c>
      <c r="G732" t="n">
        <v>32.0763</v>
      </c>
      <c r="H732" t="n">
        <v>0.264133</v>
      </c>
      <c r="I732">
        <f>F732*H732</f>
        <v/>
      </c>
      <c r="J732">
        <f>G732*H732</f>
        <v/>
      </c>
    </row>
    <row r="733">
      <c r="A733" t="inlineStr">
        <is>
          <t>bull</t>
        </is>
      </c>
      <c r="B733" t="n">
        <v>2030</v>
      </c>
      <c r="C733" t="inlineStr">
        <is>
          <t>pharma_preclinical_nam</t>
        </is>
      </c>
      <c r="D733" t="inlineStr">
        <is>
          <t>RoW</t>
        </is>
      </c>
      <c r="E733" t="n">
        <v>3188502</v>
      </c>
      <c r="F733" t="n">
        <v>1753676</v>
      </c>
      <c r="G733" t="n">
        <v>53.4605</v>
      </c>
      <c r="H733" t="n">
        <v>0.264133</v>
      </c>
      <c r="I733">
        <f>F733*H733</f>
        <v/>
      </c>
      <c r="J733">
        <f>G733*H733</f>
        <v/>
      </c>
    </row>
    <row r="734">
      <c r="A734" t="inlineStr">
        <is>
          <t>bull</t>
        </is>
      </c>
      <c r="B734" t="n">
        <v>2030</v>
      </c>
      <c r="C734" t="inlineStr">
        <is>
          <t>organoid_cro_biobank</t>
        </is>
      </c>
      <c r="D734" t="inlineStr">
        <is>
          <t>US</t>
        </is>
      </c>
      <c r="E734" t="n">
        <v>9293390</v>
      </c>
      <c r="F734" t="n">
        <v>4646695</v>
      </c>
      <c r="G734" t="n">
        <v>128.4327</v>
      </c>
      <c r="H734" t="n">
        <v>0.056042</v>
      </c>
      <c r="I734">
        <f>F734*H734</f>
        <v/>
      </c>
      <c r="J734">
        <f>G734*H734</f>
        <v/>
      </c>
    </row>
    <row r="735">
      <c r="A735" t="inlineStr">
        <is>
          <t>bull</t>
        </is>
      </c>
      <c r="B735" t="n">
        <v>2030</v>
      </c>
      <c r="C735" t="inlineStr">
        <is>
          <t>organoid_cro_biobank</t>
        </is>
      </c>
      <c r="D735" t="inlineStr">
        <is>
          <t>EU</t>
        </is>
      </c>
      <c r="E735" t="n">
        <v>4646695</v>
      </c>
      <c r="F735" t="n">
        <v>2323347</v>
      </c>
      <c r="G735" t="n">
        <v>64.2163</v>
      </c>
      <c r="H735" t="n">
        <v>0.056042</v>
      </c>
      <c r="I735">
        <f>F735*H735</f>
        <v/>
      </c>
      <c r="J735">
        <f>G735*H735</f>
        <v/>
      </c>
    </row>
    <row r="736">
      <c r="A736" t="inlineStr">
        <is>
          <t>bull</t>
        </is>
      </c>
      <c r="B736" t="n">
        <v>2030</v>
      </c>
      <c r="C736" t="inlineStr">
        <is>
          <t>organoid_cro_biobank</t>
        </is>
      </c>
      <c r="D736" t="inlineStr">
        <is>
          <t>China</t>
        </is>
      </c>
      <c r="E736" t="n">
        <v>2256667</v>
      </c>
      <c r="F736" t="n">
        <v>1128334</v>
      </c>
      <c r="G736" t="n">
        <v>70.63800000000001</v>
      </c>
      <c r="H736" t="n">
        <v>0.056042</v>
      </c>
      <c r="I736">
        <f>F736*H736</f>
        <v/>
      </c>
      <c r="J736">
        <f>G736*H736</f>
        <v/>
      </c>
    </row>
    <row r="737">
      <c r="A737" t="inlineStr">
        <is>
          <t>bull</t>
        </is>
      </c>
      <c r="B737" t="n">
        <v>2030</v>
      </c>
      <c r="C737" t="inlineStr">
        <is>
          <t>organoid_cro_biobank</t>
        </is>
      </c>
      <c r="D737" t="inlineStr">
        <is>
          <t>Japan</t>
        </is>
      </c>
      <c r="E737" t="n">
        <v>1324308</v>
      </c>
      <c r="F737" t="n">
        <v>662154</v>
      </c>
      <c r="G737" t="n">
        <v>19.2649</v>
      </c>
      <c r="H737" t="n">
        <v>0.056042</v>
      </c>
      <c r="I737">
        <f>F737*H737</f>
        <v/>
      </c>
      <c r="J737">
        <f>G737*H737</f>
        <v/>
      </c>
    </row>
    <row r="738">
      <c r="A738" t="inlineStr">
        <is>
          <t>bull</t>
        </is>
      </c>
      <c r="B738" t="n">
        <v>2030</v>
      </c>
      <c r="C738" t="inlineStr">
        <is>
          <t>organoid_cro_biobank</t>
        </is>
      </c>
      <c r="D738" t="inlineStr">
        <is>
          <t>Korea</t>
        </is>
      </c>
      <c r="E738" t="n">
        <v>1045506</v>
      </c>
      <c r="F738" t="n">
        <v>522753</v>
      </c>
      <c r="G738" t="n">
        <v>16.0541</v>
      </c>
      <c r="H738" t="n">
        <v>0.056042</v>
      </c>
      <c r="I738">
        <f>F738*H738</f>
        <v/>
      </c>
      <c r="J738">
        <f>G738*H738</f>
        <v/>
      </c>
    </row>
    <row r="739">
      <c r="A739" t="inlineStr">
        <is>
          <t>bull</t>
        </is>
      </c>
      <c r="B739" t="n">
        <v>2030</v>
      </c>
      <c r="C739" t="inlineStr">
        <is>
          <t>organoid_cro_biobank</t>
        </is>
      </c>
      <c r="D739" t="inlineStr">
        <is>
          <t>RoW</t>
        </is>
      </c>
      <c r="E739" t="n">
        <v>1301075</v>
      </c>
      <c r="F739" t="n">
        <v>650537</v>
      </c>
      <c r="G739" t="n">
        <v>22.4757</v>
      </c>
      <c r="H739" t="n">
        <v>0.056042</v>
      </c>
      <c r="I739">
        <f>F739*H739</f>
        <v/>
      </c>
      <c r="J739">
        <f>G739*H739</f>
        <v/>
      </c>
    </row>
    <row r="740">
      <c r="A740" t="inlineStr">
        <is>
          <t>bull</t>
        </is>
      </c>
      <c r="B740" t="n">
        <v>2030</v>
      </c>
      <c r="C740" t="inlineStr">
        <is>
          <t>clinical_dx_pdo</t>
        </is>
      </c>
      <c r="D740" t="inlineStr">
        <is>
          <t>US</t>
        </is>
      </c>
      <c r="E740" t="n">
        <v>1621539</v>
      </c>
      <c r="F740" t="n">
        <v>729693</v>
      </c>
      <c r="G740" t="n">
        <v>15.1263</v>
      </c>
      <c r="H740" t="n">
        <v>0.07162499999999999</v>
      </c>
      <c r="I740">
        <f>F740*H740</f>
        <v/>
      </c>
      <c r="J740">
        <f>G740*H740</f>
        <v/>
      </c>
    </row>
    <row r="741">
      <c r="A741" t="inlineStr">
        <is>
          <t>bull</t>
        </is>
      </c>
      <c r="B741" t="n">
        <v>2030</v>
      </c>
      <c r="C741" t="inlineStr">
        <is>
          <t>clinical_dx_pdo</t>
        </is>
      </c>
      <c r="D741" t="inlineStr">
        <is>
          <t>EU</t>
        </is>
      </c>
      <c r="E741" t="n">
        <v>972924</v>
      </c>
      <c r="F741" t="n">
        <v>437816</v>
      </c>
      <c r="G741" t="n">
        <v>9.075799999999999</v>
      </c>
      <c r="H741" t="n">
        <v>0.07162499999999999</v>
      </c>
      <c r="I741">
        <f>F741*H741</f>
        <v/>
      </c>
      <c r="J741">
        <f>G741*H741</f>
        <v/>
      </c>
    </row>
    <row r="742">
      <c r="A742" t="inlineStr">
        <is>
          <t>bull</t>
        </is>
      </c>
      <c r="B742" t="n">
        <v>2030</v>
      </c>
      <c r="C742" t="inlineStr">
        <is>
          <t>clinical_dx_pdo</t>
        </is>
      </c>
      <c r="D742" t="inlineStr">
        <is>
          <t>China</t>
        </is>
      </c>
      <c r="E742" t="n">
        <v>1288637</v>
      </c>
      <c r="F742" t="n">
        <v>579887</v>
      </c>
      <c r="G742" t="n">
        <v>27.2273</v>
      </c>
      <c r="H742" t="n">
        <v>0.07162499999999999</v>
      </c>
      <c r="I742">
        <f>F742*H742</f>
        <v/>
      </c>
      <c r="J742">
        <f>G742*H742</f>
        <v/>
      </c>
    </row>
    <row r="743">
      <c r="A743" t="inlineStr">
        <is>
          <t>bull</t>
        </is>
      </c>
      <c r="B743" t="n">
        <v>2030</v>
      </c>
      <c r="C743" t="inlineStr">
        <is>
          <t>clinical_dx_pdo</t>
        </is>
      </c>
      <c r="D743" t="inlineStr">
        <is>
          <t>Japan</t>
        </is>
      </c>
      <c r="E743" t="n">
        <v>369711</v>
      </c>
      <c r="F743" t="n">
        <v>166370</v>
      </c>
      <c r="G743" t="n">
        <v>3.6303</v>
      </c>
      <c r="H743" t="n">
        <v>0.07162499999999999</v>
      </c>
      <c r="I743">
        <f>F743*H743</f>
        <v/>
      </c>
      <c r="J743">
        <f>G743*H743</f>
        <v/>
      </c>
    </row>
    <row r="744">
      <c r="A744" t="inlineStr">
        <is>
          <t>bull</t>
        </is>
      </c>
      <c r="B744" t="n">
        <v>2030</v>
      </c>
      <c r="C744" t="inlineStr">
        <is>
          <t>clinical_dx_pdo</t>
        </is>
      </c>
      <c r="D744" t="inlineStr">
        <is>
          <t>Korea</t>
        </is>
      </c>
      <c r="E744" t="n">
        <v>291877</v>
      </c>
      <c r="F744" t="n">
        <v>131345</v>
      </c>
      <c r="G744" t="n">
        <v>3.0253</v>
      </c>
      <c r="H744" t="n">
        <v>0.07162499999999999</v>
      </c>
      <c r="I744">
        <f>F744*H744</f>
        <v/>
      </c>
      <c r="J744">
        <f>G744*H744</f>
        <v/>
      </c>
    </row>
    <row r="745">
      <c r="A745" t="inlineStr">
        <is>
          <t>bull</t>
        </is>
      </c>
      <c r="B745" t="n">
        <v>2030</v>
      </c>
      <c r="C745" t="inlineStr">
        <is>
          <t>clinical_dx_pdo</t>
        </is>
      </c>
      <c r="D745" t="inlineStr">
        <is>
          <t>RoW</t>
        </is>
      </c>
      <c r="E745" t="n">
        <v>207557</v>
      </c>
      <c r="F745" t="n">
        <v>93401</v>
      </c>
      <c r="G745" t="n">
        <v>2.4202</v>
      </c>
      <c r="H745" t="n">
        <v>0.07162499999999999</v>
      </c>
      <c r="I745">
        <f>F745*H745</f>
        <v/>
      </c>
      <c r="J745">
        <f>G745*H745</f>
        <v/>
      </c>
    </row>
    <row r="746">
      <c r="A746" t="inlineStr">
        <is>
          <t>bull</t>
        </is>
      </c>
      <c r="B746" t="n">
        <v>2030</v>
      </c>
      <c r="C746" t="inlineStr">
        <is>
          <t>regenerative_gmp</t>
        </is>
      </c>
      <c r="D746" t="inlineStr">
        <is>
          <t>US</t>
        </is>
      </c>
      <c r="E746" t="n">
        <v>287229</v>
      </c>
      <c r="F746" t="n">
        <v>287229</v>
      </c>
      <c r="G746" t="n">
        <v>2.446</v>
      </c>
      <c r="H746" t="n">
        <v>0.705719</v>
      </c>
      <c r="I746">
        <f>F746*H746</f>
        <v/>
      </c>
      <c r="J746">
        <f>G746*H746</f>
        <v/>
      </c>
    </row>
    <row r="747">
      <c r="A747" t="inlineStr">
        <is>
          <t>bull</t>
        </is>
      </c>
      <c r="B747" t="n">
        <v>2030</v>
      </c>
      <c r="C747" t="inlineStr">
        <is>
          <t>regenerative_gmp</t>
        </is>
      </c>
      <c r="D747" t="inlineStr">
        <is>
          <t>EU</t>
        </is>
      </c>
      <c r="E747" t="n">
        <v>229783</v>
      </c>
      <c r="F747" t="n">
        <v>229783</v>
      </c>
      <c r="G747" t="n">
        <v>1.9568</v>
      </c>
      <c r="H747" t="n">
        <v>0.705719</v>
      </c>
      <c r="I747">
        <f>F747*H747</f>
        <v/>
      </c>
      <c r="J747">
        <f>G747*H747</f>
        <v/>
      </c>
    </row>
    <row r="748">
      <c r="A748" t="inlineStr">
        <is>
          <t>bull</t>
        </is>
      </c>
      <c r="B748" t="n">
        <v>2030</v>
      </c>
      <c r="C748" t="inlineStr">
        <is>
          <t>regenerative_gmp</t>
        </is>
      </c>
      <c r="D748" t="inlineStr">
        <is>
          <t>China</t>
        </is>
      </c>
      <c r="E748" t="n">
        <v>50725</v>
      </c>
      <c r="F748" t="n">
        <v>50725</v>
      </c>
      <c r="G748" t="n">
        <v>0.9784</v>
      </c>
      <c r="H748" t="n">
        <v>0.705719</v>
      </c>
      <c r="I748">
        <f>F748*H748</f>
        <v/>
      </c>
      <c r="J748">
        <f>G748*H748</f>
        <v/>
      </c>
    </row>
    <row r="749">
      <c r="A749" t="inlineStr">
        <is>
          <t>bull</t>
        </is>
      </c>
      <c r="B749" t="n">
        <v>2030</v>
      </c>
      <c r="C749" t="inlineStr">
        <is>
          <t>regenerative_gmp</t>
        </is>
      </c>
      <c r="D749" t="inlineStr">
        <is>
          <t>Japan</t>
        </is>
      </c>
      <c r="E749" t="n">
        <v>436589</v>
      </c>
      <c r="F749" t="n">
        <v>436589</v>
      </c>
      <c r="G749" t="n">
        <v>3.9135</v>
      </c>
      <c r="H749" t="n">
        <v>0.705719</v>
      </c>
      <c r="I749">
        <f>F749*H749</f>
        <v/>
      </c>
      <c r="J749">
        <f>G749*H749</f>
        <v/>
      </c>
    </row>
    <row r="750">
      <c r="A750" t="inlineStr">
        <is>
          <t>bull</t>
        </is>
      </c>
      <c r="B750" t="n">
        <v>2030</v>
      </c>
      <c r="C750" t="inlineStr">
        <is>
          <t>regenerative_gmp</t>
        </is>
      </c>
      <c r="D750" t="inlineStr">
        <is>
          <t>Korea</t>
        </is>
      </c>
      <c r="E750" t="n">
        <v>51701</v>
      </c>
      <c r="F750" t="n">
        <v>51701</v>
      </c>
      <c r="G750" t="n">
        <v>0.4892</v>
      </c>
      <c r="H750" t="n">
        <v>0.705719</v>
      </c>
      <c r="I750">
        <f>F750*H750</f>
        <v/>
      </c>
      <c r="J750">
        <f>G750*H750</f>
        <v/>
      </c>
    </row>
    <row r="751">
      <c r="A751" t="inlineStr">
        <is>
          <t>bull</t>
        </is>
      </c>
      <c r="B751" t="n">
        <v>2030</v>
      </c>
      <c r="C751" t="inlineStr">
        <is>
          <t>regenerative_gmp</t>
        </is>
      </c>
      <c r="D751" t="inlineStr">
        <is>
          <t>RoW</t>
        </is>
      </c>
      <c r="E751" t="n">
        <v>0</v>
      </c>
      <c r="F751" t="n">
        <v>0</v>
      </c>
      <c r="G751" t="n">
        <v>0</v>
      </c>
      <c r="H751" t="n">
        <v>0.705719</v>
      </c>
      <c r="I751">
        <f>F751*H751</f>
        <v/>
      </c>
      <c r="J751">
        <f>G751*H751</f>
        <v/>
      </c>
    </row>
    <row r="752">
      <c r="A752" t="inlineStr">
        <is>
          <t>bull</t>
        </is>
      </c>
      <c r="B752" t="n">
        <v>2031</v>
      </c>
      <c r="C752" t="inlineStr">
        <is>
          <t>academic_ruo</t>
        </is>
      </c>
      <c r="D752" t="inlineStr">
        <is>
          <t>US</t>
        </is>
      </c>
      <c r="E752" t="n">
        <v>14462020</v>
      </c>
      <c r="F752" t="n">
        <v>8821832</v>
      </c>
      <c r="G752" t="n">
        <v>182.8738</v>
      </c>
      <c r="H752" t="n">
        <v>0.219695</v>
      </c>
      <c r="I752">
        <f>F752*H752</f>
        <v/>
      </c>
      <c r="J752">
        <f>G752*H752</f>
        <v/>
      </c>
    </row>
    <row r="753">
      <c r="A753" t="inlineStr">
        <is>
          <t>bull</t>
        </is>
      </c>
      <c r="B753" t="n">
        <v>2031</v>
      </c>
      <c r="C753" t="inlineStr">
        <is>
          <t>academic_ruo</t>
        </is>
      </c>
      <c r="D753" t="inlineStr">
        <is>
          <t>EU</t>
        </is>
      </c>
      <c r="E753" t="n">
        <v>15946636</v>
      </c>
      <c r="F753" t="n">
        <v>9727448</v>
      </c>
      <c r="G753" t="n">
        <v>201.6469</v>
      </c>
      <c r="H753" t="n">
        <v>0.219695</v>
      </c>
      <c r="I753">
        <f>F753*H753</f>
        <v/>
      </c>
      <c r="J753">
        <f>G753*H753</f>
        <v/>
      </c>
    </row>
    <row r="754">
      <c r="A754" t="inlineStr">
        <is>
          <t>bull</t>
        </is>
      </c>
      <c r="B754" t="n">
        <v>2031</v>
      </c>
      <c r="C754" t="inlineStr">
        <is>
          <t>academic_ruo</t>
        </is>
      </c>
      <c r="D754" t="inlineStr">
        <is>
          <t>China</t>
        </is>
      </c>
      <c r="E754" t="n">
        <v>9121403</v>
      </c>
      <c r="F754" t="n">
        <v>5564056</v>
      </c>
      <c r="G754" t="n">
        <v>261.2483</v>
      </c>
      <c r="H754" t="n">
        <v>0.219695</v>
      </c>
      <c r="I754">
        <f>F754*H754</f>
        <v/>
      </c>
      <c r="J754">
        <f>G754*H754</f>
        <v/>
      </c>
    </row>
    <row r="755">
      <c r="A755" t="inlineStr">
        <is>
          <t>bull</t>
        </is>
      </c>
      <c r="B755" t="n">
        <v>2031</v>
      </c>
      <c r="C755" t="inlineStr">
        <is>
          <t>academic_ruo</t>
        </is>
      </c>
      <c r="D755" t="inlineStr">
        <is>
          <t>Japan</t>
        </is>
      </c>
      <c r="E755" t="n">
        <v>3165968</v>
      </c>
      <c r="F755" t="n">
        <v>1931240</v>
      </c>
      <c r="G755" t="n">
        <v>42.1411</v>
      </c>
      <c r="H755" t="n">
        <v>0.219695</v>
      </c>
      <c r="I755">
        <f>F755*H755</f>
        <v/>
      </c>
      <c r="J755">
        <f>G755*H755</f>
        <v/>
      </c>
    </row>
    <row r="756">
      <c r="A756" t="inlineStr">
        <is>
          <t>bull</t>
        </is>
      </c>
      <c r="B756" t="n">
        <v>2031</v>
      </c>
      <c r="C756" t="inlineStr">
        <is>
          <t>academic_ruo</t>
        </is>
      </c>
      <c r="D756" t="inlineStr">
        <is>
          <t>Korea</t>
        </is>
      </c>
      <c r="E756" t="n">
        <v>2690995</v>
      </c>
      <c r="F756" t="n">
        <v>1641507</v>
      </c>
      <c r="G756" t="n">
        <v>37.8088</v>
      </c>
      <c r="H756" t="n">
        <v>0.219695</v>
      </c>
      <c r="I756">
        <f>F756*H756</f>
        <v/>
      </c>
      <c r="J756">
        <f>G756*H756</f>
        <v/>
      </c>
    </row>
    <row r="757">
      <c r="A757" t="inlineStr">
        <is>
          <t>bull</t>
        </is>
      </c>
      <c r="B757" t="n">
        <v>2031</v>
      </c>
      <c r="C757" t="inlineStr">
        <is>
          <t>academic_ruo</t>
        </is>
      </c>
      <c r="D757" t="inlineStr">
        <is>
          <t>RoW</t>
        </is>
      </c>
      <c r="E757" t="n">
        <v>9667648</v>
      </c>
      <c r="F757" t="n">
        <v>5897265</v>
      </c>
      <c r="G757" t="n">
        <v>152.8106</v>
      </c>
      <c r="H757" t="n">
        <v>0.219695</v>
      </c>
      <c r="I757">
        <f>F757*H757</f>
        <v/>
      </c>
      <c r="J757">
        <f>G757*H757</f>
        <v/>
      </c>
    </row>
    <row r="758">
      <c r="A758" t="inlineStr">
        <is>
          <t>bull</t>
        </is>
      </c>
      <c r="B758" t="n">
        <v>2031</v>
      </c>
      <c r="C758" t="inlineStr">
        <is>
          <t>pharma_preclinical_nam</t>
        </is>
      </c>
      <c r="D758" t="inlineStr">
        <is>
          <t>US</t>
        </is>
      </c>
      <c r="E758" t="n">
        <v>40714319</v>
      </c>
      <c r="F758" t="n">
        <v>22392876</v>
      </c>
      <c r="G758" t="n">
        <v>546.1144</v>
      </c>
      <c r="H758" t="n">
        <v>0.326447</v>
      </c>
      <c r="I758">
        <f>F758*H758</f>
        <v/>
      </c>
      <c r="J758">
        <f>G758*H758</f>
        <v/>
      </c>
    </row>
    <row r="759">
      <c r="A759" t="inlineStr">
        <is>
          <t>bull</t>
        </is>
      </c>
      <c r="B759" t="n">
        <v>2031</v>
      </c>
      <c r="C759" t="inlineStr">
        <is>
          <t>pharma_preclinical_nam</t>
        </is>
      </c>
      <c r="D759" t="inlineStr">
        <is>
          <t>EU</t>
        </is>
      </c>
      <c r="E759" t="n">
        <v>22619066</v>
      </c>
      <c r="F759" t="n">
        <v>12440486</v>
      </c>
      <c r="G759" t="n">
        <v>303.3969</v>
      </c>
      <c r="H759" t="n">
        <v>0.326447</v>
      </c>
      <c r="I759">
        <f>F759*H759</f>
        <v/>
      </c>
      <c r="J759">
        <f>G759*H759</f>
        <v/>
      </c>
    </row>
    <row r="760">
      <c r="A760" t="inlineStr">
        <is>
          <t>bull</t>
        </is>
      </c>
      <c r="B760" t="n">
        <v>2031</v>
      </c>
      <c r="C760" t="inlineStr">
        <is>
          <t>pharma_preclinical_nam</t>
        </is>
      </c>
      <c r="D760" t="inlineStr">
        <is>
          <t>China</t>
        </is>
      </c>
      <c r="E760" t="n">
        <v>5991791</v>
      </c>
      <c r="F760" t="n">
        <v>3295485</v>
      </c>
      <c r="G760" t="n">
        <v>182.0381</v>
      </c>
      <c r="H760" t="n">
        <v>0.326447</v>
      </c>
      <c r="I760">
        <f>F760*H760</f>
        <v/>
      </c>
      <c r="J760">
        <f>G760*H760</f>
        <v/>
      </c>
    </row>
    <row r="761">
      <c r="A761" t="inlineStr">
        <is>
          <t>bull</t>
        </is>
      </c>
      <c r="B761" t="n">
        <v>2031</v>
      </c>
      <c r="C761" t="inlineStr">
        <is>
          <t>pharma_preclinical_nam</t>
        </is>
      </c>
      <c r="D761" t="inlineStr">
        <is>
          <t>Japan</t>
        </is>
      </c>
      <c r="E761" t="n">
        <v>6016672</v>
      </c>
      <c r="F761" t="n">
        <v>3309169</v>
      </c>
      <c r="G761" t="n">
        <v>84.9511</v>
      </c>
      <c r="H761" t="n">
        <v>0.326447</v>
      </c>
      <c r="I761">
        <f>F761*H761</f>
        <v/>
      </c>
      <c r="J761">
        <f>G761*H761</f>
        <v/>
      </c>
    </row>
    <row r="762">
      <c r="A762" t="inlineStr">
        <is>
          <t>bull</t>
        </is>
      </c>
      <c r="B762" t="n">
        <v>2031</v>
      </c>
      <c r="C762" t="inlineStr">
        <is>
          <t>pharma_preclinical_nam</t>
        </is>
      </c>
      <c r="D762" t="inlineStr">
        <is>
          <t>Korea</t>
        </is>
      </c>
      <c r="E762" t="n">
        <v>2442859</v>
      </c>
      <c r="F762" t="n">
        <v>1343573</v>
      </c>
      <c r="G762" t="n">
        <v>36.4076</v>
      </c>
      <c r="H762" t="n">
        <v>0.326447</v>
      </c>
      <c r="I762">
        <f>F762*H762</f>
        <v/>
      </c>
      <c r="J762">
        <f>G762*H762</f>
        <v/>
      </c>
    </row>
    <row r="763">
      <c r="A763" t="inlineStr">
        <is>
          <t>bull</t>
        </is>
      </c>
      <c r="B763" t="n">
        <v>2031</v>
      </c>
      <c r="C763" t="inlineStr">
        <is>
          <t>pharma_preclinical_nam</t>
        </is>
      </c>
      <c r="D763" t="inlineStr">
        <is>
          <t>RoW</t>
        </is>
      </c>
      <c r="E763" t="n">
        <v>3619051</v>
      </c>
      <c r="F763" t="n">
        <v>1990478</v>
      </c>
      <c r="G763" t="n">
        <v>60.6794</v>
      </c>
      <c r="H763" t="n">
        <v>0.326447</v>
      </c>
      <c r="I763">
        <f>F763*H763</f>
        <v/>
      </c>
      <c r="J763">
        <f>G763*H763</f>
        <v/>
      </c>
    </row>
    <row r="764">
      <c r="A764" t="inlineStr">
        <is>
          <t>bull</t>
        </is>
      </c>
      <c r="B764" t="n">
        <v>2031</v>
      </c>
      <c r="C764" t="inlineStr">
        <is>
          <t>organoid_cro_biobank</t>
        </is>
      </c>
      <c r="D764" t="inlineStr">
        <is>
          <t>US</t>
        </is>
      </c>
      <c r="E764" t="n">
        <v>10687398</v>
      </c>
      <c r="F764" t="n">
        <v>5343699</v>
      </c>
      <c r="G764" t="n">
        <v>147.6976</v>
      </c>
      <c r="H764" t="n">
        <v>0.066547</v>
      </c>
      <c r="I764">
        <f>F764*H764</f>
        <v/>
      </c>
      <c r="J764">
        <f>G764*H764</f>
        <v/>
      </c>
    </row>
    <row r="765">
      <c r="A765" t="inlineStr">
        <is>
          <t>bull</t>
        </is>
      </c>
      <c r="B765" t="n">
        <v>2031</v>
      </c>
      <c r="C765" t="inlineStr">
        <is>
          <t>organoid_cro_biobank</t>
        </is>
      </c>
      <c r="D765" t="inlineStr">
        <is>
          <t>EU</t>
        </is>
      </c>
      <c r="E765" t="n">
        <v>5343699</v>
      </c>
      <c r="F765" t="n">
        <v>2671850</v>
      </c>
      <c r="G765" t="n">
        <v>73.8488</v>
      </c>
      <c r="H765" t="n">
        <v>0.066547</v>
      </c>
      <c r="I765">
        <f>F765*H765</f>
        <v/>
      </c>
      <c r="J765">
        <f>G765*H765</f>
        <v/>
      </c>
    </row>
    <row r="766">
      <c r="A766" t="inlineStr">
        <is>
          <t>bull</t>
        </is>
      </c>
      <c r="B766" t="n">
        <v>2031</v>
      </c>
      <c r="C766" t="inlineStr">
        <is>
          <t>organoid_cro_biobank</t>
        </is>
      </c>
      <c r="D766" t="inlineStr">
        <is>
          <t>China</t>
        </is>
      </c>
      <c r="E766" t="n">
        <v>2595167</v>
      </c>
      <c r="F766" t="n">
        <v>1297584</v>
      </c>
      <c r="G766" t="n">
        <v>81.2337</v>
      </c>
      <c r="H766" t="n">
        <v>0.066547</v>
      </c>
      <c r="I766">
        <f>F766*H766</f>
        <v/>
      </c>
      <c r="J766">
        <f>G766*H766</f>
        <v/>
      </c>
    </row>
    <row r="767">
      <c r="A767" t="inlineStr">
        <is>
          <t>bull</t>
        </is>
      </c>
      <c r="B767" t="n">
        <v>2031</v>
      </c>
      <c r="C767" t="inlineStr">
        <is>
          <t>organoid_cro_biobank</t>
        </is>
      </c>
      <c r="D767" t="inlineStr">
        <is>
          <t>Japan</t>
        </is>
      </c>
      <c r="E767" t="n">
        <v>1522954</v>
      </c>
      <c r="F767" t="n">
        <v>761477</v>
      </c>
      <c r="G767" t="n">
        <v>22.1546</v>
      </c>
      <c r="H767" t="n">
        <v>0.066547</v>
      </c>
      <c r="I767">
        <f>F767*H767</f>
        <v/>
      </c>
      <c r="J767">
        <f>G767*H767</f>
        <v/>
      </c>
    </row>
    <row r="768">
      <c r="A768" t="inlineStr">
        <is>
          <t>bull</t>
        </is>
      </c>
      <c r="B768" t="n">
        <v>2031</v>
      </c>
      <c r="C768" t="inlineStr">
        <is>
          <t>organoid_cro_biobank</t>
        </is>
      </c>
      <c r="D768" t="inlineStr">
        <is>
          <t>Korea</t>
        </is>
      </c>
      <c r="E768" t="n">
        <v>1202332</v>
      </c>
      <c r="F768" t="n">
        <v>601166</v>
      </c>
      <c r="G768" t="n">
        <v>18.4622</v>
      </c>
      <c r="H768" t="n">
        <v>0.066547</v>
      </c>
      <c r="I768">
        <f>F768*H768</f>
        <v/>
      </c>
      <c r="J768">
        <f>G768*H768</f>
        <v/>
      </c>
    </row>
    <row r="769">
      <c r="A769" t="inlineStr">
        <is>
          <t>bull</t>
        </is>
      </c>
      <c r="B769" t="n">
        <v>2031</v>
      </c>
      <c r="C769" t="inlineStr">
        <is>
          <t>organoid_cro_biobank</t>
        </is>
      </c>
      <c r="D769" t="inlineStr">
        <is>
          <t>RoW</t>
        </is>
      </c>
      <c r="E769" t="n">
        <v>1496236</v>
      </c>
      <c r="F769" t="n">
        <v>748118</v>
      </c>
      <c r="G769" t="n">
        <v>25.8471</v>
      </c>
      <c r="H769" t="n">
        <v>0.066547</v>
      </c>
      <c r="I769">
        <f>F769*H769</f>
        <v/>
      </c>
      <c r="J769">
        <f>G769*H769</f>
        <v/>
      </c>
    </row>
    <row r="770">
      <c r="A770" t="inlineStr">
        <is>
          <t>bull</t>
        </is>
      </c>
      <c r="B770" t="n">
        <v>2031</v>
      </c>
      <c r="C770" t="inlineStr">
        <is>
          <t>clinical_dx_pdo</t>
        </is>
      </c>
      <c r="D770" t="inlineStr">
        <is>
          <t>US</t>
        </is>
      </c>
      <c r="E770" t="n">
        <v>2140432</v>
      </c>
      <c r="F770" t="n">
        <v>963194</v>
      </c>
      <c r="G770" t="n">
        <v>19.9667</v>
      </c>
      <c r="H770" t="n">
        <v>0.08638999999999999</v>
      </c>
      <c r="I770">
        <f>F770*H770</f>
        <v/>
      </c>
      <c r="J770">
        <f>G770*H770</f>
        <v/>
      </c>
    </row>
    <row r="771">
      <c r="A771" t="inlineStr">
        <is>
          <t>bull</t>
        </is>
      </c>
      <c r="B771" t="n">
        <v>2031</v>
      </c>
      <c r="C771" t="inlineStr">
        <is>
          <t>clinical_dx_pdo</t>
        </is>
      </c>
      <c r="D771" t="inlineStr">
        <is>
          <t>EU</t>
        </is>
      </c>
      <c r="E771" t="n">
        <v>1284259</v>
      </c>
      <c r="F771" t="n">
        <v>577917</v>
      </c>
      <c r="G771" t="n">
        <v>11.98</v>
      </c>
      <c r="H771" t="n">
        <v>0.08638999999999999</v>
      </c>
      <c r="I771">
        <f>F771*H771</f>
        <v/>
      </c>
      <c r="J771">
        <f>G771*H771</f>
        <v/>
      </c>
    </row>
    <row r="772">
      <c r="A772" t="inlineStr">
        <is>
          <t>bull</t>
        </is>
      </c>
      <c r="B772" t="n">
        <v>2031</v>
      </c>
      <c r="C772" t="inlineStr">
        <is>
          <t>clinical_dx_pdo</t>
        </is>
      </c>
      <c r="D772" t="inlineStr">
        <is>
          <t>China</t>
        </is>
      </c>
      <c r="E772" t="n">
        <v>1701001</v>
      </c>
      <c r="F772" t="n">
        <v>765451</v>
      </c>
      <c r="G772" t="n">
        <v>35.9401</v>
      </c>
      <c r="H772" t="n">
        <v>0.08638999999999999</v>
      </c>
      <c r="I772">
        <f>F772*H772</f>
        <v/>
      </c>
      <c r="J772">
        <f>G772*H772</f>
        <v/>
      </c>
    </row>
    <row r="773">
      <c r="A773" t="inlineStr">
        <is>
          <t>bull</t>
        </is>
      </c>
      <c r="B773" t="n">
        <v>2031</v>
      </c>
      <c r="C773" t="inlineStr">
        <is>
          <t>clinical_dx_pdo</t>
        </is>
      </c>
      <c r="D773" t="inlineStr">
        <is>
          <t>Japan</t>
        </is>
      </c>
      <c r="E773" t="n">
        <v>488018</v>
      </c>
      <c r="F773" t="n">
        <v>219608</v>
      </c>
      <c r="G773" t="n">
        <v>4.792</v>
      </c>
      <c r="H773" t="n">
        <v>0.08638999999999999</v>
      </c>
      <c r="I773">
        <f>F773*H773</f>
        <v/>
      </c>
      <c r="J773">
        <f>G773*H773</f>
        <v/>
      </c>
    </row>
    <row r="774">
      <c r="A774" t="inlineStr">
        <is>
          <t>bull</t>
        </is>
      </c>
      <c r="B774" t="n">
        <v>2031</v>
      </c>
      <c r="C774" t="inlineStr">
        <is>
          <t>clinical_dx_pdo</t>
        </is>
      </c>
      <c r="D774" t="inlineStr">
        <is>
          <t>Korea</t>
        </is>
      </c>
      <c r="E774" t="n">
        <v>385278</v>
      </c>
      <c r="F774" t="n">
        <v>173375</v>
      </c>
      <c r="G774" t="n">
        <v>3.9933</v>
      </c>
      <c r="H774" t="n">
        <v>0.08638999999999999</v>
      </c>
      <c r="I774">
        <f>F774*H774</f>
        <v/>
      </c>
      <c r="J774">
        <f>G774*H774</f>
        <v/>
      </c>
    </row>
    <row r="775">
      <c r="A775" t="inlineStr">
        <is>
          <t>bull</t>
        </is>
      </c>
      <c r="B775" t="n">
        <v>2031</v>
      </c>
      <c r="C775" t="inlineStr">
        <is>
          <t>clinical_dx_pdo</t>
        </is>
      </c>
      <c r="D775" t="inlineStr">
        <is>
          <t>RoW</t>
        </is>
      </c>
      <c r="E775" t="n">
        <v>273975</v>
      </c>
      <c r="F775" t="n">
        <v>123289</v>
      </c>
      <c r="G775" t="n">
        <v>3.1947</v>
      </c>
      <c r="H775" t="n">
        <v>0.08638999999999999</v>
      </c>
      <c r="I775">
        <f>F775*H775</f>
        <v/>
      </c>
      <c r="J775">
        <f>G775*H775</f>
        <v/>
      </c>
    </row>
    <row r="776">
      <c r="A776" t="inlineStr">
        <is>
          <t>bull</t>
        </is>
      </c>
      <c r="B776" t="n">
        <v>2031</v>
      </c>
      <c r="C776" t="inlineStr">
        <is>
          <t>regenerative_gmp</t>
        </is>
      </c>
      <c r="D776" t="inlineStr">
        <is>
          <t>US</t>
        </is>
      </c>
      <c r="E776" t="n">
        <v>473928</v>
      </c>
      <c r="F776" t="n">
        <v>473928</v>
      </c>
      <c r="G776" t="n">
        <v>4.0358</v>
      </c>
      <c r="H776" t="n">
        <v>0.772249</v>
      </c>
      <c r="I776">
        <f>F776*H776</f>
        <v/>
      </c>
      <c r="J776">
        <f>G776*H776</f>
        <v/>
      </c>
    </row>
    <row r="777">
      <c r="A777" t="inlineStr">
        <is>
          <t>bull</t>
        </is>
      </c>
      <c r="B777" t="n">
        <v>2031</v>
      </c>
      <c r="C777" t="inlineStr">
        <is>
          <t>regenerative_gmp</t>
        </is>
      </c>
      <c r="D777" t="inlineStr">
        <is>
          <t>EU</t>
        </is>
      </c>
      <c r="E777" t="n">
        <v>379143</v>
      </c>
      <c r="F777" t="n">
        <v>379143</v>
      </c>
      <c r="G777" t="n">
        <v>3.2287</v>
      </c>
      <c r="H777" t="n">
        <v>0.772249</v>
      </c>
      <c r="I777">
        <f>F777*H777</f>
        <v/>
      </c>
      <c r="J777">
        <f>G777*H777</f>
        <v/>
      </c>
    </row>
    <row r="778">
      <c r="A778" t="inlineStr">
        <is>
          <t>bull</t>
        </is>
      </c>
      <c r="B778" t="n">
        <v>2031</v>
      </c>
      <c r="C778" t="inlineStr">
        <is>
          <t>regenerative_gmp</t>
        </is>
      </c>
      <c r="D778" t="inlineStr">
        <is>
          <t>China</t>
        </is>
      </c>
      <c r="E778" t="n">
        <v>83696</v>
      </c>
      <c r="F778" t="n">
        <v>83696</v>
      </c>
      <c r="G778" t="n">
        <v>1.6143</v>
      </c>
      <c r="H778" t="n">
        <v>0.772249</v>
      </c>
      <c r="I778">
        <f>F778*H778</f>
        <v/>
      </c>
      <c r="J778">
        <f>G778*H778</f>
        <v/>
      </c>
    </row>
    <row r="779">
      <c r="A779" t="inlineStr">
        <is>
          <t>bull</t>
        </is>
      </c>
      <c r="B779" t="n">
        <v>2031</v>
      </c>
      <c r="C779" t="inlineStr">
        <is>
          <t>regenerative_gmp</t>
        </is>
      </c>
      <c r="D779" t="inlineStr">
        <is>
          <t>Japan</t>
        </is>
      </c>
      <c r="E779" t="n">
        <v>720371</v>
      </c>
      <c r="F779" t="n">
        <v>720371</v>
      </c>
      <c r="G779" t="n">
        <v>6.4573</v>
      </c>
      <c r="H779" t="n">
        <v>0.772249</v>
      </c>
      <c r="I779">
        <f>F779*H779</f>
        <v/>
      </c>
      <c r="J779">
        <f>G779*H779</f>
        <v/>
      </c>
    </row>
    <row r="780">
      <c r="A780" t="inlineStr">
        <is>
          <t>bull</t>
        </is>
      </c>
      <c r="B780" t="n">
        <v>2031</v>
      </c>
      <c r="C780" t="inlineStr">
        <is>
          <t>regenerative_gmp</t>
        </is>
      </c>
      <c r="D780" t="inlineStr">
        <is>
          <t>Korea</t>
        </is>
      </c>
      <c r="E780" t="n">
        <v>85307</v>
      </c>
      <c r="F780" t="n">
        <v>85307</v>
      </c>
      <c r="G780" t="n">
        <v>0.8072</v>
      </c>
      <c r="H780" t="n">
        <v>0.772249</v>
      </c>
      <c r="I780">
        <f>F780*H780</f>
        <v/>
      </c>
      <c r="J780">
        <f>G780*H780</f>
        <v/>
      </c>
    </row>
    <row r="781">
      <c r="A781" t="inlineStr">
        <is>
          <t>bull</t>
        </is>
      </c>
      <c r="B781" t="n">
        <v>2031</v>
      </c>
      <c r="C781" t="inlineStr">
        <is>
          <t>regenerative_gmp</t>
        </is>
      </c>
      <c r="D781" t="inlineStr">
        <is>
          <t>RoW</t>
        </is>
      </c>
      <c r="E781" t="n">
        <v>0</v>
      </c>
      <c r="F781" t="n">
        <v>0</v>
      </c>
      <c r="G781" t="n">
        <v>0</v>
      </c>
      <c r="H781" t="n">
        <v>0.772249</v>
      </c>
      <c r="I781">
        <f>F781*H781</f>
        <v/>
      </c>
      <c r="J781">
        <f>G781*H781</f>
        <v/>
      </c>
    </row>
    <row r="782">
      <c r="A782" t="inlineStr">
        <is>
          <t>bull</t>
        </is>
      </c>
      <c r="B782" t="n">
        <v>2032</v>
      </c>
      <c r="C782" t="inlineStr">
        <is>
          <t>academic_ruo</t>
        </is>
      </c>
      <c r="D782" t="inlineStr">
        <is>
          <t>US</t>
        </is>
      </c>
      <c r="E782" t="n">
        <v>15618982</v>
      </c>
      <c r="F782" t="n">
        <v>9527579</v>
      </c>
      <c r="G782" t="n">
        <v>197.5037</v>
      </c>
      <c r="H782" t="n">
        <v>0.268842</v>
      </c>
      <c r="I782">
        <f>F782*H782</f>
        <v/>
      </c>
      <c r="J782">
        <f>G782*H782</f>
        <v/>
      </c>
    </row>
    <row r="783">
      <c r="A783" t="inlineStr">
        <is>
          <t>bull</t>
        </is>
      </c>
      <c r="B783" t="n">
        <v>2032</v>
      </c>
      <c r="C783" t="inlineStr">
        <is>
          <t>academic_ruo</t>
        </is>
      </c>
      <c r="D783" t="inlineStr">
        <is>
          <t>EU</t>
        </is>
      </c>
      <c r="E783" t="n">
        <v>17222366</v>
      </c>
      <c r="F783" t="n">
        <v>10505643</v>
      </c>
      <c r="G783" t="n">
        <v>217.7787</v>
      </c>
      <c r="H783" t="n">
        <v>0.268842</v>
      </c>
      <c r="I783">
        <f>F783*H783</f>
        <v/>
      </c>
      <c r="J783">
        <f>G783*H783</f>
        <v/>
      </c>
    </row>
    <row r="784">
      <c r="A784" t="inlineStr">
        <is>
          <t>bull</t>
        </is>
      </c>
      <c r="B784" t="n">
        <v>2032</v>
      </c>
      <c r="C784" t="inlineStr">
        <is>
          <t>academic_ruo</t>
        </is>
      </c>
      <c r="D784" t="inlineStr">
        <is>
          <t>China</t>
        </is>
      </c>
      <c r="E784" t="n">
        <v>9851115</v>
      </c>
      <c r="F784" t="n">
        <v>6009180</v>
      </c>
      <c r="G784" t="n">
        <v>282.1482</v>
      </c>
      <c r="H784" t="n">
        <v>0.268842</v>
      </c>
      <c r="I784">
        <f>F784*H784</f>
        <v/>
      </c>
      <c r="J784">
        <f>G784*H784</f>
        <v/>
      </c>
    </row>
    <row r="785">
      <c r="A785" t="inlineStr">
        <is>
          <t>bull</t>
        </is>
      </c>
      <c r="B785" t="n">
        <v>2032</v>
      </c>
      <c r="C785" t="inlineStr">
        <is>
          <t>academic_ruo</t>
        </is>
      </c>
      <c r="D785" t="inlineStr">
        <is>
          <t>Japan</t>
        </is>
      </c>
      <c r="E785" t="n">
        <v>3419245</v>
      </c>
      <c r="F785" t="n">
        <v>2085740</v>
      </c>
      <c r="G785" t="n">
        <v>45.5123</v>
      </c>
      <c r="H785" t="n">
        <v>0.268842</v>
      </c>
      <c r="I785">
        <f>F785*H785</f>
        <v/>
      </c>
      <c r="J785">
        <f>G785*H785</f>
        <v/>
      </c>
    </row>
    <row r="786">
      <c r="A786" t="inlineStr">
        <is>
          <t>bull</t>
        </is>
      </c>
      <c r="B786" t="n">
        <v>2032</v>
      </c>
      <c r="C786" t="inlineStr">
        <is>
          <t>academic_ruo</t>
        </is>
      </c>
      <c r="D786" t="inlineStr">
        <is>
          <t>Korea</t>
        </is>
      </c>
      <c r="E786" t="n">
        <v>2906274</v>
      </c>
      <c r="F786" t="n">
        <v>1772827</v>
      </c>
      <c r="G786" t="n">
        <v>40.8335</v>
      </c>
      <c r="H786" t="n">
        <v>0.268842</v>
      </c>
      <c r="I786">
        <f>F786*H786</f>
        <v/>
      </c>
      <c r="J786">
        <f>G786*H786</f>
        <v/>
      </c>
    </row>
    <row r="787">
      <c r="A787" t="inlineStr">
        <is>
          <t>bull</t>
        </is>
      </c>
      <c r="B787" t="n">
        <v>2032</v>
      </c>
      <c r="C787" t="inlineStr">
        <is>
          <t>academic_ruo</t>
        </is>
      </c>
      <c r="D787" t="inlineStr">
        <is>
          <t>RoW</t>
        </is>
      </c>
      <c r="E787" t="n">
        <v>10441060</v>
      </c>
      <c r="F787" t="n">
        <v>6369046</v>
      </c>
      <c r="G787" t="n">
        <v>165.0354</v>
      </c>
      <c r="H787" t="n">
        <v>0.268842</v>
      </c>
      <c r="I787">
        <f>F787*H787</f>
        <v/>
      </c>
      <c r="J787">
        <f>G787*H787</f>
        <v/>
      </c>
    </row>
    <row r="788">
      <c r="A788" t="inlineStr">
        <is>
          <t>bull</t>
        </is>
      </c>
      <c r="B788" t="n">
        <v>2032</v>
      </c>
      <c r="C788" t="inlineStr">
        <is>
          <t>pharma_preclinical_nam</t>
        </is>
      </c>
      <c r="D788" t="inlineStr">
        <is>
          <t>US</t>
        </is>
      </c>
      <c r="E788" t="n">
        <v>46212033</v>
      </c>
      <c r="F788" t="n">
        <v>25416618</v>
      </c>
      <c r="G788" t="n">
        <v>619.857</v>
      </c>
      <c r="H788" t="n">
        <v>0.389686</v>
      </c>
      <c r="I788">
        <f>F788*H788</f>
        <v/>
      </c>
      <c r="J788">
        <f>G788*H788</f>
        <v/>
      </c>
    </row>
    <row r="789">
      <c r="A789" t="inlineStr">
        <is>
          <t>bull</t>
        </is>
      </c>
      <c r="B789" t="n">
        <v>2032</v>
      </c>
      <c r="C789" t="inlineStr">
        <is>
          <t>pharma_preclinical_nam</t>
        </is>
      </c>
      <c r="D789" t="inlineStr">
        <is>
          <t>EU</t>
        </is>
      </c>
      <c r="E789" t="n">
        <v>25673352</v>
      </c>
      <c r="F789" t="n">
        <v>14120343</v>
      </c>
      <c r="G789" t="n">
        <v>344.365</v>
      </c>
      <c r="H789" t="n">
        <v>0.389686</v>
      </c>
      <c r="I789">
        <f>F789*H789</f>
        <v/>
      </c>
      <c r="J789">
        <f>G789*H789</f>
        <v/>
      </c>
    </row>
    <row r="790">
      <c r="A790" t="inlineStr">
        <is>
          <t>bull</t>
        </is>
      </c>
      <c r="B790" t="n">
        <v>2032</v>
      </c>
      <c r="C790" t="inlineStr">
        <is>
          <t>pharma_preclinical_nam</t>
        </is>
      </c>
      <c r="D790" t="inlineStr">
        <is>
          <t>China</t>
        </is>
      </c>
      <c r="E790" t="n">
        <v>6800871</v>
      </c>
      <c r="F790" t="n">
        <v>3740479</v>
      </c>
      <c r="G790" t="n">
        <v>206.619</v>
      </c>
      <c r="H790" t="n">
        <v>0.389686</v>
      </c>
      <c r="I790">
        <f>F790*H790</f>
        <v/>
      </c>
      <c r="J790">
        <f>G790*H790</f>
        <v/>
      </c>
    </row>
    <row r="791">
      <c r="A791" t="inlineStr">
        <is>
          <t>bull</t>
        </is>
      </c>
      <c r="B791" t="n">
        <v>2032</v>
      </c>
      <c r="C791" t="inlineStr">
        <is>
          <t>pharma_preclinical_nam</t>
        </is>
      </c>
      <c r="D791" t="inlineStr">
        <is>
          <t>Japan</t>
        </is>
      </c>
      <c r="E791" t="n">
        <v>6829112</v>
      </c>
      <c r="F791" t="n">
        <v>3756011</v>
      </c>
      <c r="G791" t="n">
        <v>96.4222</v>
      </c>
      <c r="H791" t="n">
        <v>0.389686</v>
      </c>
      <c r="I791">
        <f>F791*H791</f>
        <v/>
      </c>
      <c r="J791">
        <f>G791*H791</f>
        <v/>
      </c>
    </row>
    <row r="792">
      <c r="A792" t="inlineStr">
        <is>
          <t>bull</t>
        </is>
      </c>
      <c r="B792" t="n">
        <v>2032</v>
      </c>
      <c r="C792" t="inlineStr">
        <is>
          <t>pharma_preclinical_nam</t>
        </is>
      </c>
      <c r="D792" t="inlineStr">
        <is>
          <t>Korea</t>
        </is>
      </c>
      <c r="E792" t="n">
        <v>2772722</v>
      </c>
      <c r="F792" t="n">
        <v>1524997</v>
      </c>
      <c r="G792" t="n">
        <v>41.3238</v>
      </c>
      <c r="H792" t="n">
        <v>0.389686</v>
      </c>
      <c r="I792">
        <f>F792*H792</f>
        <v/>
      </c>
      <c r="J792">
        <f>G792*H792</f>
        <v/>
      </c>
    </row>
    <row r="793">
      <c r="A793" t="inlineStr">
        <is>
          <t>bull</t>
        </is>
      </c>
      <c r="B793" t="n">
        <v>2032</v>
      </c>
      <c r="C793" t="inlineStr">
        <is>
          <t>pharma_preclinical_nam</t>
        </is>
      </c>
      <c r="D793" t="inlineStr">
        <is>
          <t>RoW</t>
        </is>
      </c>
      <c r="E793" t="n">
        <v>4107736</v>
      </c>
      <c r="F793" t="n">
        <v>2259255</v>
      </c>
      <c r="G793" t="n">
        <v>68.873</v>
      </c>
      <c r="H793" t="n">
        <v>0.389686</v>
      </c>
      <c r="I793">
        <f>F793*H793</f>
        <v/>
      </c>
      <c r="J793">
        <f>G793*H793</f>
        <v/>
      </c>
    </row>
    <row r="794">
      <c r="A794" t="inlineStr">
        <is>
          <t>bull</t>
        </is>
      </c>
      <c r="B794" t="n">
        <v>2032</v>
      </c>
      <c r="C794" t="inlineStr">
        <is>
          <t>organoid_cro_biobank</t>
        </is>
      </c>
      <c r="D794" t="inlineStr">
        <is>
          <t>US</t>
        </is>
      </c>
      <c r="E794" t="n">
        <v>12290508</v>
      </c>
      <c r="F794" t="n">
        <v>6145254</v>
      </c>
      <c r="G794" t="n">
        <v>169.8522</v>
      </c>
      <c r="H794" t="n">
        <v>0.078773</v>
      </c>
      <c r="I794">
        <f>F794*H794</f>
        <v/>
      </c>
      <c r="J794">
        <f>G794*H794</f>
        <v/>
      </c>
    </row>
    <row r="795">
      <c r="A795" t="inlineStr">
        <is>
          <t>bull</t>
        </is>
      </c>
      <c r="B795" t="n">
        <v>2032</v>
      </c>
      <c r="C795" t="inlineStr">
        <is>
          <t>organoid_cro_biobank</t>
        </is>
      </c>
      <c r="D795" t="inlineStr">
        <is>
          <t>EU</t>
        </is>
      </c>
      <c r="E795" t="n">
        <v>6145254</v>
      </c>
      <c r="F795" t="n">
        <v>3072627</v>
      </c>
      <c r="G795" t="n">
        <v>84.92610000000001</v>
      </c>
      <c r="H795" t="n">
        <v>0.078773</v>
      </c>
      <c r="I795">
        <f>F795*H795</f>
        <v/>
      </c>
      <c r="J795">
        <f>G795*H795</f>
        <v/>
      </c>
    </row>
    <row r="796">
      <c r="A796" t="inlineStr">
        <is>
          <t>bull</t>
        </is>
      </c>
      <c r="B796" t="n">
        <v>2032</v>
      </c>
      <c r="C796" t="inlineStr">
        <is>
          <t>organoid_cro_biobank</t>
        </is>
      </c>
      <c r="D796" t="inlineStr">
        <is>
          <t>China</t>
        </is>
      </c>
      <c r="E796" t="n">
        <v>2984443</v>
      </c>
      <c r="F796" t="n">
        <v>1492221</v>
      </c>
      <c r="G796" t="n">
        <v>93.4187</v>
      </c>
      <c r="H796" t="n">
        <v>0.078773</v>
      </c>
      <c r="I796">
        <f>F796*H796</f>
        <v/>
      </c>
      <c r="J796">
        <f>G796*H796</f>
        <v/>
      </c>
    </row>
    <row r="797">
      <c r="A797" t="inlineStr">
        <is>
          <t>bull</t>
        </is>
      </c>
      <c r="B797" t="n">
        <v>2032</v>
      </c>
      <c r="C797" t="inlineStr">
        <is>
          <t>organoid_cro_biobank</t>
        </is>
      </c>
      <c r="D797" t="inlineStr">
        <is>
          <t>Japan</t>
        </is>
      </c>
      <c r="E797" t="n">
        <v>1751397</v>
      </c>
      <c r="F797" t="n">
        <v>875699</v>
      </c>
      <c r="G797" t="n">
        <v>25.4778</v>
      </c>
      <c r="H797" t="n">
        <v>0.078773</v>
      </c>
      <c r="I797">
        <f>F797*H797</f>
        <v/>
      </c>
      <c r="J797">
        <f>G797*H797</f>
        <v/>
      </c>
    </row>
    <row r="798">
      <c r="A798" t="inlineStr">
        <is>
          <t>bull</t>
        </is>
      </c>
      <c r="B798" t="n">
        <v>2032</v>
      </c>
      <c r="C798" t="inlineStr">
        <is>
          <t>organoid_cro_biobank</t>
        </is>
      </c>
      <c r="D798" t="inlineStr">
        <is>
          <t>Korea</t>
        </is>
      </c>
      <c r="E798" t="n">
        <v>1382682</v>
      </c>
      <c r="F798" t="n">
        <v>691341</v>
      </c>
      <c r="G798" t="n">
        <v>21.2315</v>
      </c>
      <c r="H798" t="n">
        <v>0.078773</v>
      </c>
      <c r="I798">
        <f>F798*H798</f>
        <v/>
      </c>
      <c r="J798">
        <f>G798*H798</f>
        <v/>
      </c>
    </row>
    <row r="799">
      <c r="A799" t="inlineStr">
        <is>
          <t>bull</t>
        </is>
      </c>
      <c r="B799" t="n">
        <v>2032</v>
      </c>
      <c r="C799" t="inlineStr">
        <is>
          <t>organoid_cro_biobank</t>
        </is>
      </c>
      <c r="D799" t="inlineStr">
        <is>
          <t>RoW</t>
        </is>
      </c>
      <c r="E799" t="n">
        <v>1720671</v>
      </c>
      <c r="F799" t="n">
        <v>860336</v>
      </c>
      <c r="G799" t="n">
        <v>29.7241</v>
      </c>
      <c r="H799" t="n">
        <v>0.078773</v>
      </c>
      <c r="I799">
        <f>F799*H799</f>
        <v/>
      </c>
      <c r="J799">
        <f>G799*H799</f>
        <v/>
      </c>
    </row>
    <row r="800">
      <c r="A800" t="inlineStr">
        <is>
          <t>bull</t>
        </is>
      </c>
      <c r="B800" t="n">
        <v>2032</v>
      </c>
      <c r="C800" t="inlineStr">
        <is>
          <t>clinical_dx_pdo</t>
        </is>
      </c>
      <c r="D800" t="inlineStr">
        <is>
          <t>US</t>
        </is>
      </c>
      <c r="E800" t="n">
        <v>2825370</v>
      </c>
      <c r="F800" t="n">
        <v>1271417</v>
      </c>
      <c r="G800" t="n">
        <v>26.3561</v>
      </c>
      <c r="H800" t="n">
        <v>0.103681</v>
      </c>
      <c r="I800">
        <f>F800*H800</f>
        <v/>
      </c>
      <c r="J800">
        <f>G800*H800</f>
        <v/>
      </c>
    </row>
    <row r="801">
      <c r="A801" t="inlineStr">
        <is>
          <t>bull</t>
        </is>
      </c>
      <c r="B801" t="n">
        <v>2032</v>
      </c>
      <c r="C801" t="inlineStr">
        <is>
          <t>clinical_dx_pdo</t>
        </is>
      </c>
      <c r="D801" t="inlineStr">
        <is>
          <t>EU</t>
        </is>
      </c>
      <c r="E801" t="n">
        <v>1695222</v>
      </c>
      <c r="F801" t="n">
        <v>762850</v>
      </c>
      <c r="G801" t="n">
        <v>15.8136</v>
      </c>
      <c r="H801" t="n">
        <v>0.103681</v>
      </c>
      <c r="I801">
        <f>F801*H801</f>
        <v/>
      </c>
      <c r="J801">
        <f>G801*H801</f>
        <v/>
      </c>
    </row>
    <row r="802">
      <c r="A802" t="inlineStr">
        <is>
          <t>bull</t>
        </is>
      </c>
      <c r="B802" t="n">
        <v>2032</v>
      </c>
      <c r="C802" t="inlineStr">
        <is>
          <t>clinical_dx_pdo</t>
        </is>
      </c>
      <c r="D802" t="inlineStr">
        <is>
          <t>China</t>
        </is>
      </c>
      <c r="E802" t="n">
        <v>2245322</v>
      </c>
      <c r="F802" t="n">
        <v>1010395</v>
      </c>
      <c r="G802" t="n">
        <v>47.4409</v>
      </c>
      <c r="H802" t="n">
        <v>0.103681</v>
      </c>
      <c r="I802">
        <f>F802*H802</f>
        <v/>
      </c>
      <c r="J802">
        <f>G802*H802</f>
        <v/>
      </c>
    </row>
    <row r="803">
      <c r="A803" t="inlineStr">
        <is>
          <t>bull</t>
        </is>
      </c>
      <c r="B803" t="n">
        <v>2032</v>
      </c>
      <c r="C803" t="inlineStr">
        <is>
          <t>clinical_dx_pdo</t>
        </is>
      </c>
      <c r="D803" t="inlineStr">
        <is>
          <t>Japan</t>
        </is>
      </c>
      <c r="E803" t="n">
        <v>644184</v>
      </c>
      <c r="F803" t="n">
        <v>289883</v>
      </c>
      <c r="G803" t="n">
        <v>6.3255</v>
      </c>
      <c r="H803" t="n">
        <v>0.103681</v>
      </c>
      <c r="I803">
        <f>F803*H803</f>
        <v/>
      </c>
      <c r="J803">
        <f>G803*H803</f>
        <v/>
      </c>
    </row>
    <row r="804">
      <c r="A804" t="inlineStr">
        <is>
          <t>bull</t>
        </is>
      </c>
      <c r="B804" t="n">
        <v>2032</v>
      </c>
      <c r="C804" t="inlineStr">
        <is>
          <t>clinical_dx_pdo</t>
        </is>
      </c>
      <c r="D804" t="inlineStr">
        <is>
          <t>Korea</t>
        </is>
      </c>
      <c r="E804" t="n">
        <v>508567</v>
      </c>
      <c r="F804" t="n">
        <v>228855</v>
      </c>
      <c r="G804" t="n">
        <v>5.2712</v>
      </c>
      <c r="H804" t="n">
        <v>0.103681</v>
      </c>
      <c r="I804">
        <f>F804*H804</f>
        <v/>
      </c>
      <c r="J804">
        <f>G804*H804</f>
        <v/>
      </c>
    </row>
    <row r="805">
      <c r="A805" t="inlineStr">
        <is>
          <t>bull</t>
        </is>
      </c>
      <c r="B805" t="n">
        <v>2032</v>
      </c>
      <c r="C805" t="inlineStr">
        <is>
          <t>clinical_dx_pdo</t>
        </is>
      </c>
      <c r="D805" t="inlineStr">
        <is>
          <t>RoW</t>
        </is>
      </c>
      <c r="E805" t="n">
        <v>361647</v>
      </c>
      <c r="F805" t="n">
        <v>162741</v>
      </c>
      <c r="G805" t="n">
        <v>4.217</v>
      </c>
      <c r="H805" t="n">
        <v>0.103681</v>
      </c>
      <c r="I805">
        <f>F805*H805</f>
        <v/>
      </c>
      <c r="J805">
        <f>G805*H805</f>
        <v/>
      </c>
    </row>
    <row r="806">
      <c r="A806" t="inlineStr">
        <is>
          <t>bull</t>
        </is>
      </c>
      <c r="B806" t="n">
        <v>2032</v>
      </c>
      <c r="C806" t="inlineStr">
        <is>
          <t>regenerative_gmp</t>
        </is>
      </c>
      <c r="D806" t="inlineStr">
        <is>
          <t>US</t>
        </is>
      </c>
      <c r="E806" t="n">
        <v>710893</v>
      </c>
      <c r="F806" t="n">
        <v>710893</v>
      </c>
      <c r="G806" t="n">
        <v>6.0538</v>
      </c>
      <c r="H806" t="n">
        <v>0.827417</v>
      </c>
      <c r="I806">
        <f>F806*H806</f>
        <v/>
      </c>
      <c r="J806">
        <f>G806*H806</f>
        <v/>
      </c>
    </row>
    <row r="807">
      <c r="A807" t="inlineStr">
        <is>
          <t>bull</t>
        </is>
      </c>
      <c r="B807" t="n">
        <v>2032</v>
      </c>
      <c r="C807" t="inlineStr">
        <is>
          <t>regenerative_gmp</t>
        </is>
      </c>
      <c r="D807" t="inlineStr">
        <is>
          <t>EU</t>
        </is>
      </c>
      <c r="E807" t="n">
        <v>568714</v>
      </c>
      <c r="F807" t="n">
        <v>568714</v>
      </c>
      <c r="G807" t="n">
        <v>4.843</v>
      </c>
      <c r="H807" t="n">
        <v>0.827417</v>
      </c>
      <c r="I807">
        <f>F807*H807</f>
        <v/>
      </c>
      <c r="J807">
        <f>G807*H807</f>
        <v/>
      </c>
    </row>
    <row r="808">
      <c r="A808" t="inlineStr">
        <is>
          <t>bull</t>
        </is>
      </c>
      <c r="B808" t="n">
        <v>2032</v>
      </c>
      <c r="C808" t="inlineStr">
        <is>
          <t>regenerative_gmp</t>
        </is>
      </c>
      <c r="D808" t="inlineStr">
        <is>
          <t>China</t>
        </is>
      </c>
      <c r="E808" t="n">
        <v>125544</v>
      </c>
      <c r="F808" t="n">
        <v>125544</v>
      </c>
      <c r="G808" t="n">
        <v>2.4215</v>
      </c>
      <c r="H808" t="n">
        <v>0.827417</v>
      </c>
      <c r="I808">
        <f>F808*H808</f>
        <v/>
      </c>
      <c r="J808">
        <f>G808*H808</f>
        <v/>
      </c>
    </row>
    <row r="809">
      <c r="A809" t="inlineStr">
        <is>
          <t>bull</t>
        </is>
      </c>
      <c r="B809" t="n">
        <v>2032</v>
      </c>
      <c r="C809" t="inlineStr">
        <is>
          <t>regenerative_gmp</t>
        </is>
      </c>
      <c r="D809" t="inlineStr">
        <is>
          <t>Japan</t>
        </is>
      </c>
      <c r="E809" t="n">
        <v>1080557</v>
      </c>
      <c r="F809" t="n">
        <v>1080557</v>
      </c>
      <c r="G809" t="n">
        <v>9.686</v>
      </c>
      <c r="H809" t="n">
        <v>0.827417</v>
      </c>
      <c r="I809">
        <f>F809*H809</f>
        <v/>
      </c>
      <c r="J809">
        <f>G809*H809</f>
        <v/>
      </c>
    </row>
    <row r="810">
      <c r="A810" t="inlineStr">
        <is>
          <t>bull</t>
        </is>
      </c>
      <c r="B810" t="n">
        <v>2032</v>
      </c>
      <c r="C810" t="inlineStr">
        <is>
          <t>regenerative_gmp</t>
        </is>
      </c>
      <c r="D810" t="inlineStr">
        <is>
          <t>Korea</t>
        </is>
      </c>
      <c r="E810" t="n">
        <v>127961</v>
      </c>
      <c r="F810" t="n">
        <v>127961</v>
      </c>
      <c r="G810" t="n">
        <v>1.2108</v>
      </c>
      <c r="H810" t="n">
        <v>0.827417</v>
      </c>
      <c r="I810">
        <f>F810*H810</f>
        <v/>
      </c>
      <c r="J810">
        <f>G810*H810</f>
        <v/>
      </c>
    </row>
    <row r="811">
      <c r="A811" t="inlineStr">
        <is>
          <t>bull</t>
        </is>
      </c>
      <c r="B811" t="n">
        <v>2032</v>
      </c>
      <c r="C811" t="inlineStr">
        <is>
          <t>regenerative_gmp</t>
        </is>
      </c>
      <c r="D811" t="inlineStr">
        <is>
          <t>RoW</t>
        </is>
      </c>
      <c r="E811" t="n">
        <v>0</v>
      </c>
      <c r="F811" t="n">
        <v>0</v>
      </c>
      <c r="G811" t="n">
        <v>0</v>
      </c>
      <c r="H811" t="n">
        <v>0.827417</v>
      </c>
      <c r="I811">
        <f>F811*H811</f>
        <v/>
      </c>
      <c r="J811">
        <f>G811*H811</f>
        <v/>
      </c>
    </row>
    <row r="812">
      <c r="A812" t="inlineStr">
        <is>
          <t>bull</t>
        </is>
      </c>
      <c r="B812" t="n">
        <v>2033</v>
      </c>
      <c r="C812" t="inlineStr">
        <is>
          <t>academic_ruo</t>
        </is>
      </c>
      <c r="D812" t="inlineStr">
        <is>
          <t>US</t>
        </is>
      </c>
      <c r="E812" t="n">
        <v>16868501</v>
      </c>
      <c r="F812" t="n">
        <v>10289785</v>
      </c>
      <c r="G812" t="n">
        <v>213.304</v>
      </c>
      <c r="H812" t="n">
        <v>0.321309</v>
      </c>
      <c r="I812">
        <f>F812*H812</f>
        <v/>
      </c>
      <c r="J812">
        <f>G812*H812</f>
        <v/>
      </c>
    </row>
    <row r="813">
      <c r="A813" t="inlineStr">
        <is>
          <t>bull</t>
        </is>
      </c>
      <c r="B813" t="n">
        <v>2033</v>
      </c>
      <c r="C813" t="inlineStr">
        <is>
          <t>academic_ruo</t>
        </is>
      </c>
      <c r="D813" t="inlineStr">
        <is>
          <t>EU</t>
        </is>
      </c>
      <c r="E813" t="n">
        <v>18600156</v>
      </c>
      <c r="F813" t="n">
        <v>11346095</v>
      </c>
      <c r="G813" t="n">
        <v>235.201</v>
      </c>
      <c r="H813" t="n">
        <v>0.321309</v>
      </c>
      <c r="I813">
        <f>F813*H813</f>
        <v/>
      </c>
      <c r="J813">
        <f>G813*H813</f>
        <v/>
      </c>
    </row>
    <row r="814">
      <c r="A814" t="inlineStr">
        <is>
          <t>bull</t>
        </is>
      </c>
      <c r="B814" t="n">
        <v>2033</v>
      </c>
      <c r="C814" t="inlineStr">
        <is>
          <t>academic_ruo</t>
        </is>
      </c>
      <c r="D814" t="inlineStr">
        <is>
          <t>China</t>
        </is>
      </c>
      <c r="E814" t="n">
        <v>10639204</v>
      </c>
      <c r="F814" t="n">
        <v>6489915</v>
      </c>
      <c r="G814" t="n">
        <v>304.72</v>
      </c>
      <c r="H814" t="n">
        <v>0.321309</v>
      </c>
      <c r="I814">
        <f>F814*H814</f>
        <v/>
      </c>
      <c r="J814">
        <f>G814*H814</f>
        <v/>
      </c>
    </row>
    <row r="815">
      <c r="A815" t="inlineStr">
        <is>
          <t>bull</t>
        </is>
      </c>
      <c r="B815" t="n">
        <v>2033</v>
      </c>
      <c r="C815" t="inlineStr">
        <is>
          <t>academic_ruo</t>
        </is>
      </c>
      <c r="D815" t="inlineStr">
        <is>
          <t>Japan</t>
        </is>
      </c>
      <c r="E815" t="n">
        <v>3692785</v>
      </c>
      <c r="F815" t="n">
        <v>2252599</v>
      </c>
      <c r="G815" t="n">
        <v>49.1533</v>
      </c>
      <c r="H815" t="n">
        <v>0.321309</v>
      </c>
      <c r="I815">
        <f>F815*H815</f>
        <v/>
      </c>
      <c r="J815">
        <f>G815*H815</f>
        <v/>
      </c>
    </row>
    <row r="816">
      <c r="A816" t="inlineStr">
        <is>
          <t>bull</t>
        </is>
      </c>
      <c r="B816" t="n">
        <v>2033</v>
      </c>
      <c r="C816" t="inlineStr">
        <is>
          <t>academic_ruo</t>
        </is>
      </c>
      <c r="D816" t="inlineStr">
        <is>
          <t>Korea</t>
        </is>
      </c>
      <c r="E816" t="n">
        <v>3138776</v>
      </c>
      <c r="F816" t="n">
        <v>1914654</v>
      </c>
      <c r="G816" t="n">
        <v>44.1002</v>
      </c>
      <c r="H816" t="n">
        <v>0.321309</v>
      </c>
      <c r="I816">
        <f>F816*H816</f>
        <v/>
      </c>
      <c r="J816">
        <f>G816*H816</f>
        <v/>
      </c>
    </row>
    <row r="817">
      <c r="A817" t="inlineStr">
        <is>
          <t>bull</t>
        </is>
      </c>
      <c r="B817" t="n">
        <v>2033</v>
      </c>
      <c r="C817" t="inlineStr">
        <is>
          <t>academic_ruo</t>
        </is>
      </c>
      <c r="D817" t="inlineStr">
        <is>
          <t>RoW</t>
        </is>
      </c>
      <c r="E817" t="n">
        <v>11276344</v>
      </c>
      <c r="F817" t="n">
        <v>6878570</v>
      </c>
      <c r="G817" t="n">
        <v>178.2382</v>
      </c>
      <c r="H817" t="n">
        <v>0.321309</v>
      </c>
      <c r="I817">
        <f>F817*H817</f>
        <v/>
      </c>
      <c r="J817">
        <f>G817*H817</f>
        <v/>
      </c>
    </row>
    <row r="818">
      <c r="A818" t="inlineStr">
        <is>
          <t>bull</t>
        </is>
      </c>
      <c r="B818" t="n">
        <v>2033</v>
      </c>
      <c r="C818" t="inlineStr">
        <is>
          <t>pharma_preclinical_nam</t>
        </is>
      </c>
      <c r="D818" t="inlineStr">
        <is>
          <t>US</t>
        </is>
      </c>
      <c r="E818" t="n">
        <v>52452111</v>
      </c>
      <c r="F818" t="n">
        <v>28848661</v>
      </c>
      <c r="G818" t="n">
        <v>703.5572</v>
      </c>
      <c r="H818" t="n">
        <v>0.449597</v>
      </c>
      <c r="I818">
        <f>F818*H818</f>
        <v/>
      </c>
      <c r="J818">
        <f>G818*H818</f>
        <v/>
      </c>
    </row>
    <row r="819">
      <c r="A819" t="inlineStr">
        <is>
          <t>bull</t>
        </is>
      </c>
      <c r="B819" t="n">
        <v>2033</v>
      </c>
      <c r="C819" t="inlineStr">
        <is>
          <t>pharma_preclinical_nam</t>
        </is>
      </c>
      <c r="D819" t="inlineStr">
        <is>
          <t>EU</t>
        </is>
      </c>
      <c r="E819" t="n">
        <v>29140062</v>
      </c>
      <c r="F819" t="n">
        <v>16027034</v>
      </c>
      <c r="G819" t="n">
        <v>390.8651</v>
      </c>
      <c r="H819" t="n">
        <v>0.449597</v>
      </c>
      <c r="I819">
        <f>F819*H819</f>
        <v/>
      </c>
      <c r="J819">
        <f>G819*H819</f>
        <v/>
      </c>
    </row>
    <row r="820">
      <c r="A820" t="inlineStr">
        <is>
          <t>bull</t>
        </is>
      </c>
      <c r="B820" t="n">
        <v>2033</v>
      </c>
      <c r="C820" t="inlineStr">
        <is>
          <t>pharma_preclinical_nam</t>
        </is>
      </c>
      <c r="D820" t="inlineStr">
        <is>
          <t>China</t>
        </is>
      </c>
      <c r="E820" t="n">
        <v>7719202</v>
      </c>
      <c r="F820" t="n">
        <v>4245561</v>
      </c>
      <c r="G820" t="n">
        <v>234.5191</v>
      </c>
      <c r="H820" t="n">
        <v>0.449597</v>
      </c>
      <c r="I820">
        <f>F820*H820</f>
        <v/>
      </c>
      <c r="J820">
        <f>G820*H820</f>
        <v/>
      </c>
    </row>
    <row r="821">
      <c r="A821" t="inlineStr">
        <is>
          <t>bull</t>
        </is>
      </c>
      <c r="B821" t="n">
        <v>2033</v>
      </c>
      <c r="C821" t="inlineStr">
        <is>
          <t>pharma_preclinical_nam</t>
        </is>
      </c>
      <c r="D821" t="inlineStr">
        <is>
          <t>Japan</t>
        </is>
      </c>
      <c r="E821" t="n">
        <v>7751256</v>
      </c>
      <c r="F821" t="n">
        <v>4263191</v>
      </c>
      <c r="G821" t="n">
        <v>109.4422</v>
      </c>
      <c r="H821" t="n">
        <v>0.449597</v>
      </c>
      <c r="I821">
        <f>F821*H821</f>
        <v/>
      </c>
      <c r="J821">
        <f>G821*H821</f>
        <v/>
      </c>
    </row>
    <row r="822">
      <c r="A822" t="inlineStr">
        <is>
          <t>bull</t>
        </is>
      </c>
      <c r="B822" t="n">
        <v>2033</v>
      </c>
      <c r="C822" t="inlineStr">
        <is>
          <t>pharma_preclinical_nam</t>
        </is>
      </c>
      <c r="D822" t="inlineStr">
        <is>
          <t>Korea</t>
        </is>
      </c>
      <c r="E822" t="n">
        <v>3147127</v>
      </c>
      <c r="F822" t="n">
        <v>1730920</v>
      </c>
      <c r="G822" t="n">
        <v>46.9038</v>
      </c>
      <c r="H822" t="n">
        <v>0.449597</v>
      </c>
      <c r="I822">
        <f>F822*H822</f>
        <v/>
      </c>
      <c r="J822">
        <f>G822*H822</f>
        <v/>
      </c>
    </row>
    <row r="823">
      <c r="A823" t="inlineStr">
        <is>
          <t>bull</t>
        </is>
      </c>
      <c r="B823" t="n">
        <v>2033</v>
      </c>
      <c r="C823" t="inlineStr">
        <is>
          <t>pharma_preclinical_nam</t>
        </is>
      </c>
      <c r="D823" t="inlineStr">
        <is>
          <t>RoW</t>
        </is>
      </c>
      <c r="E823" t="n">
        <v>4662410</v>
      </c>
      <c r="F823" t="n">
        <v>2564325</v>
      </c>
      <c r="G823" t="n">
        <v>78.173</v>
      </c>
      <c r="H823" t="n">
        <v>0.449597</v>
      </c>
      <c r="I823">
        <f>F823*H823</f>
        <v/>
      </c>
      <c r="J823">
        <f>G823*H823</f>
        <v/>
      </c>
    </row>
    <row r="824">
      <c r="A824" t="inlineStr">
        <is>
          <t>bull</t>
        </is>
      </c>
      <c r="B824" t="n">
        <v>2033</v>
      </c>
      <c r="C824" t="inlineStr">
        <is>
          <t>organoid_cro_biobank</t>
        </is>
      </c>
      <c r="D824" t="inlineStr">
        <is>
          <t>US</t>
        </is>
      </c>
      <c r="E824" t="n">
        <v>14134084</v>
      </c>
      <c r="F824" t="n">
        <v>7067042</v>
      </c>
      <c r="G824" t="n">
        <v>195.3301</v>
      </c>
      <c r="H824" t="n">
        <v>0.092904</v>
      </c>
      <c r="I824">
        <f>F824*H824</f>
        <v/>
      </c>
      <c r="J824">
        <f>G824*H824</f>
        <v/>
      </c>
    </row>
    <row r="825">
      <c r="A825" t="inlineStr">
        <is>
          <t>bull</t>
        </is>
      </c>
      <c r="B825" t="n">
        <v>2033</v>
      </c>
      <c r="C825" t="inlineStr">
        <is>
          <t>organoid_cro_biobank</t>
        </is>
      </c>
      <c r="D825" t="inlineStr">
        <is>
          <t>EU</t>
        </is>
      </c>
      <c r="E825" t="n">
        <v>7067042</v>
      </c>
      <c r="F825" t="n">
        <v>3533521</v>
      </c>
      <c r="G825" t="n">
        <v>97.66500000000001</v>
      </c>
      <c r="H825" t="n">
        <v>0.092904</v>
      </c>
      <c r="I825">
        <f>F825*H825</f>
        <v/>
      </c>
      <c r="J825">
        <f>G825*H825</f>
        <v/>
      </c>
    </row>
    <row r="826">
      <c r="A826" t="inlineStr">
        <is>
          <t>bull</t>
        </is>
      </c>
      <c r="B826" t="n">
        <v>2033</v>
      </c>
      <c r="C826" t="inlineStr">
        <is>
          <t>organoid_cro_biobank</t>
        </is>
      </c>
      <c r="D826" t="inlineStr">
        <is>
          <t>China</t>
        </is>
      </c>
      <c r="E826" t="n">
        <v>3432109</v>
      </c>
      <c r="F826" t="n">
        <v>1716054</v>
      </c>
      <c r="G826" t="n">
        <v>107.4315</v>
      </c>
      <c r="H826" t="n">
        <v>0.092904</v>
      </c>
      <c r="I826">
        <f>F826*H826</f>
        <v/>
      </c>
      <c r="J826">
        <f>G826*H826</f>
        <v/>
      </c>
    </row>
    <row r="827">
      <c r="A827" t="inlineStr">
        <is>
          <t>bull</t>
        </is>
      </c>
      <c r="B827" t="n">
        <v>2033</v>
      </c>
      <c r="C827" t="inlineStr">
        <is>
          <t>organoid_cro_biobank</t>
        </is>
      </c>
      <c r="D827" t="inlineStr">
        <is>
          <t>Japan</t>
        </is>
      </c>
      <c r="E827" t="n">
        <v>2014107</v>
      </c>
      <c r="F827" t="n">
        <v>1007053</v>
      </c>
      <c r="G827" t="n">
        <v>29.2995</v>
      </c>
      <c r="H827" t="n">
        <v>0.092904</v>
      </c>
      <c r="I827">
        <f>F827*H827</f>
        <v/>
      </c>
      <c r="J827">
        <f>G827*H827</f>
        <v/>
      </c>
    </row>
    <row r="828">
      <c r="A828" t="inlineStr">
        <is>
          <t>bull</t>
        </is>
      </c>
      <c r="B828" t="n">
        <v>2033</v>
      </c>
      <c r="C828" t="inlineStr">
        <is>
          <t>organoid_cro_biobank</t>
        </is>
      </c>
      <c r="D828" t="inlineStr">
        <is>
          <t>Korea</t>
        </is>
      </c>
      <c r="E828" t="n">
        <v>1590084</v>
      </c>
      <c r="F828" t="n">
        <v>795042</v>
      </c>
      <c r="G828" t="n">
        <v>24.4163</v>
      </c>
      <c r="H828" t="n">
        <v>0.092904</v>
      </c>
      <c r="I828">
        <f>F828*H828</f>
        <v/>
      </c>
      <c r="J828">
        <f>G828*H828</f>
        <v/>
      </c>
    </row>
    <row r="829">
      <c r="A829" t="inlineStr">
        <is>
          <t>bull</t>
        </is>
      </c>
      <c r="B829" t="n">
        <v>2033</v>
      </c>
      <c r="C829" t="inlineStr">
        <is>
          <t>organoid_cro_biobank</t>
        </is>
      </c>
      <c r="D829" t="inlineStr">
        <is>
          <t>RoW</t>
        </is>
      </c>
      <c r="E829" t="n">
        <v>1978772</v>
      </c>
      <c r="F829" t="n">
        <v>989386</v>
      </c>
      <c r="G829" t="n">
        <v>34.1828</v>
      </c>
      <c r="H829" t="n">
        <v>0.092904</v>
      </c>
      <c r="I829">
        <f>F829*H829</f>
        <v/>
      </c>
      <c r="J829">
        <f>G829*H829</f>
        <v/>
      </c>
    </row>
    <row r="830">
      <c r="A830" t="inlineStr">
        <is>
          <t>bull</t>
        </is>
      </c>
      <c r="B830" t="n">
        <v>2033</v>
      </c>
      <c r="C830" t="inlineStr">
        <is>
          <t>clinical_dx_pdo</t>
        </is>
      </c>
      <c r="D830" t="inlineStr">
        <is>
          <t>US</t>
        </is>
      </c>
      <c r="E830" t="n">
        <v>3729489</v>
      </c>
      <c r="F830" t="n">
        <v>1678270</v>
      </c>
      <c r="G830" t="n">
        <v>34.79</v>
      </c>
      <c r="H830" t="n">
        <v>0.123711</v>
      </c>
      <c r="I830">
        <f>F830*H830</f>
        <v/>
      </c>
      <c r="J830">
        <f>G830*H830</f>
        <v/>
      </c>
    </row>
    <row r="831">
      <c r="A831" t="inlineStr">
        <is>
          <t>bull</t>
        </is>
      </c>
      <c r="B831" t="n">
        <v>2033</v>
      </c>
      <c r="C831" t="inlineStr">
        <is>
          <t>clinical_dx_pdo</t>
        </is>
      </c>
      <c r="D831" t="inlineStr">
        <is>
          <t>EU</t>
        </is>
      </c>
      <c r="E831" t="n">
        <v>2237693</v>
      </c>
      <c r="F831" t="n">
        <v>1006962</v>
      </c>
      <c r="G831" t="n">
        <v>20.874</v>
      </c>
      <c r="H831" t="n">
        <v>0.123711</v>
      </c>
      <c r="I831">
        <f>F831*H831</f>
        <v/>
      </c>
      <c r="J831">
        <f>G831*H831</f>
        <v/>
      </c>
    </row>
    <row r="832">
      <c r="A832" t="inlineStr">
        <is>
          <t>bull</t>
        </is>
      </c>
      <c r="B832" t="n">
        <v>2033</v>
      </c>
      <c r="C832" t="inlineStr">
        <is>
          <t>clinical_dx_pdo</t>
        </is>
      </c>
      <c r="D832" t="inlineStr">
        <is>
          <t>China</t>
        </is>
      </c>
      <c r="E832" t="n">
        <v>2963825</v>
      </c>
      <c r="F832" t="n">
        <v>1333721</v>
      </c>
      <c r="G832" t="n">
        <v>62.622</v>
      </c>
      <c r="H832" t="n">
        <v>0.123711</v>
      </c>
      <c r="I832">
        <f>F832*H832</f>
        <v/>
      </c>
      <c r="J832">
        <f>G832*H832</f>
        <v/>
      </c>
    </row>
    <row r="833">
      <c r="A833" t="inlineStr">
        <is>
          <t>bull</t>
        </is>
      </c>
      <c r="B833" t="n">
        <v>2033</v>
      </c>
      <c r="C833" t="inlineStr">
        <is>
          <t>clinical_dx_pdo</t>
        </is>
      </c>
      <c r="D833" t="inlineStr">
        <is>
          <t>Japan</t>
        </is>
      </c>
      <c r="E833" t="n">
        <v>850323</v>
      </c>
      <c r="F833" t="n">
        <v>382646</v>
      </c>
      <c r="G833" t="n">
        <v>8.349600000000001</v>
      </c>
      <c r="H833" t="n">
        <v>0.123711</v>
      </c>
      <c r="I833">
        <f>F833*H833</f>
        <v/>
      </c>
      <c r="J833">
        <f>G833*H833</f>
        <v/>
      </c>
    </row>
    <row r="834">
      <c r="A834" t="inlineStr">
        <is>
          <t>bull</t>
        </is>
      </c>
      <c r="B834" t="n">
        <v>2033</v>
      </c>
      <c r="C834" t="inlineStr">
        <is>
          <t>clinical_dx_pdo</t>
        </is>
      </c>
      <c r="D834" t="inlineStr">
        <is>
          <t>Korea</t>
        </is>
      </c>
      <c r="E834" t="n">
        <v>671308</v>
      </c>
      <c r="F834" t="n">
        <v>302089</v>
      </c>
      <c r="G834" t="n">
        <v>6.958</v>
      </c>
      <c r="H834" t="n">
        <v>0.123711</v>
      </c>
      <c r="I834">
        <f>F834*H834</f>
        <v/>
      </c>
      <c r="J834">
        <f>G834*H834</f>
        <v/>
      </c>
    </row>
    <row r="835">
      <c r="A835" t="inlineStr">
        <is>
          <t>bull</t>
        </is>
      </c>
      <c r="B835" t="n">
        <v>2033</v>
      </c>
      <c r="C835" t="inlineStr">
        <is>
          <t>clinical_dx_pdo</t>
        </is>
      </c>
      <c r="D835" t="inlineStr">
        <is>
          <t>RoW</t>
        </is>
      </c>
      <c r="E835" t="n">
        <v>477375</v>
      </c>
      <c r="F835" t="n">
        <v>214819</v>
      </c>
      <c r="G835" t="n">
        <v>5.5664</v>
      </c>
      <c r="H835" t="n">
        <v>0.123711</v>
      </c>
      <c r="I835">
        <f>F835*H835</f>
        <v/>
      </c>
      <c r="J835">
        <f>G835*H835</f>
        <v/>
      </c>
    </row>
    <row r="836">
      <c r="A836" t="inlineStr">
        <is>
          <t>bull</t>
        </is>
      </c>
      <c r="B836" t="n">
        <v>2033</v>
      </c>
      <c r="C836" t="inlineStr">
        <is>
          <t>regenerative_gmp</t>
        </is>
      </c>
      <c r="D836" t="inlineStr">
        <is>
          <t>US</t>
        </is>
      </c>
      <c r="E836" t="n">
        <v>1066339</v>
      </c>
      <c r="F836" t="n">
        <v>1066339</v>
      </c>
      <c r="G836" t="n">
        <v>9.0806</v>
      </c>
      <c r="H836" t="n">
        <v>0.871447</v>
      </c>
      <c r="I836">
        <f>F836*H836</f>
        <v/>
      </c>
      <c r="J836">
        <f>G836*H836</f>
        <v/>
      </c>
    </row>
    <row r="837">
      <c r="A837" t="inlineStr">
        <is>
          <t>bull</t>
        </is>
      </c>
      <c r="B837" t="n">
        <v>2033</v>
      </c>
      <c r="C837" t="inlineStr">
        <is>
          <t>regenerative_gmp</t>
        </is>
      </c>
      <c r="D837" t="inlineStr">
        <is>
          <t>EU</t>
        </is>
      </c>
      <c r="E837" t="n">
        <v>853071</v>
      </c>
      <c r="F837" t="n">
        <v>853071</v>
      </c>
      <c r="G837" t="n">
        <v>7.2645</v>
      </c>
      <c r="H837" t="n">
        <v>0.871447</v>
      </c>
      <c r="I837">
        <f>F837*H837</f>
        <v/>
      </c>
      <c r="J837">
        <f>G837*H837</f>
        <v/>
      </c>
    </row>
    <row r="838">
      <c r="A838" t="inlineStr">
        <is>
          <t>bull</t>
        </is>
      </c>
      <c r="B838" t="n">
        <v>2033</v>
      </c>
      <c r="C838" t="inlineStr">
        <is>
          <t>regenerative_gmp</t>
        </is>
      </c>
      <c r="D838" t="inlineStr">
        <is>
          <t>China</t>
        </is>
      </c>
      <c r="E838" t="n">
        <v>188315</v>
      </c>
      <c r="F838" t="n">
        <v>188315</v>
      </c>
      <c r="G838" t="n">
        <v>3.6323</v>
      </c>
      <c r="H838" t="n">
        <v>0.871447</v>
      </c>
      <c r="I838">
        <f>F838*H838</f>
        <v/>
      </c>
      <c r="J838">
        <f>G838*H838</f>
        <v/>
      </c>
    </row>
    <row r="839">
      <c r="A839" t="inlineStr">
        <is>
          <t>bull</t>
        </is>
      </c>
      <c r="B839" t="n">
        <v>2033</v>
      </c>
      <c r="C839" t="inlineStr">
        <is>
          <t>regenerative_gmp</t>
        </is>
      </c>
      <c r="D839" t="inlineStr">
        <is>
          <t>Japan</t>
        </is>
      </c>
      <c r="E839" t="n">
        <v>1620835</v>
      </c>
      <c r="F839" t="n">
        <v>1620835</v>
      </c>
      <c r="G839" t="n">
        <v>14.529</v>
      </c>
      <c r="H839" t="n">
        <v>0.871447</v>
      </c>
      <c r="I839">
        <f>F839*H839</f>
        <v/>
      </c>
      <c r="J839">
        <f>G839*H839</f>
        <v/>
      </c>
    </row>
    <row r="840">
      <c r="A840" t="inlineStr">
        <is>
          <t>bull</t>
        </is>
      </c>
      <c r="B840" t="n">
        <v>2033</v>
      </c>
      <c r="C840" t="inlineStr">
        <is>
          <t>regenerative_gmp</t>
        </is>
      </c>
      <c r="D840" t="inlineStr">
        <is>
          <t>Korea</t>
        </is>
      </c>
      <c r="E840" t="n">
        <v>191941</v>
      </c>
      <c r="F840" t="n">
        <v>191941</v>
      </c>
      <c r="G840" t="n">
        <v>1.8161</v>
      </c>
      <c r="H840" t="n">
        <v>0.871447</v>
      </c>
      <c r="I840">
        <f>F840*H840</f>
        <v/>
      </c>
      <c r="J840">
        <f>G840*H840</f>
        <v/>
      </c>
    </row>
    <row r="841">
      <c r="A841" t="inlineStr">
        <is>
          <t>bull</t>
        </is>
      </c>
      <c r="B841" t="n">
        <v>2033</v>
      </c>
      <c r="C841" t="inlineStr">
        <is>
          <t>regenerative_gmp</t>
        </is>
      </c>
      <c r="D841" t="inlineStr">
        <is>
          <t>RoW</t>
        </is>
      </c>
      <c r="E841" t="n">
        <v>0</v>
      </c>
      <c r="F841" t="n">
        <v>0</v>
      </c>
      <c r="G841" t="n">
        <v>0</v>
      </c>
      <c r="H841" t="n">
        <v>0.871447</v>
      </c>
      <c r="I841">
        <f>F841*H841</f>
        <v/>
      </c>
      <c r="J841">
        <f>G841*H841</f>
        <v/>
      </c>
    </row>
    <row r="842">
      <c r="A842" t="inlineStr">
        <is>
          <t>bull</t>
        </is>
      </c>
      <c r="B842" t="n">
        <v>2034</v>
      </c>
      <c r="C842" t="inlineStr">
        <is>
          <t>academic_ruo</t>
        </is>
      </c>
      <c r="D842" t="inlineStr">
        <is>
          <t>US</t>
        </is>
      </c>
      <c r="E842" t="n">
        <v>18217981</v>
      </c>
      <c r="F842" t="n">
        <v>11112968</v>
      </c>
      <c r="G842" t="n">
        <v>230.3683</v>
      </c>
      <c r="H842" t="n">
        <v>0.374685</v>
      </c>
      <c r="I842">
        <f>F842*H842</f>
        <v/>
      </c>
      <c r="J842">
        <f>G842*H842</f>
        <v/>
      </c>
    </row>
    <row r="843">
      <c r="A843" t="inlineStr">
        <is>
          <t>bull</t>
        </is>
      </c>
      <c r="B843" t="n">
        <v>2034</v>
      </c>
      <c r="C843" t="inlineStr">
        <is>
          <t>academic_ruo</t>
        </is>
      </c>
      <c r="D843" t="inlineStr">
        <is>
          <t>EU</t>
        </is>
      </c>
      <c r="E843" t="n">
        <v>20088168</v>
      </c>
      <c r="F843" t="n">
        <v>12253783</v>
      </c>
      <c r="G843" t="n">
        <v>254.0171</v>
      </c>
      <c r="H843" t="n">
        <v>0.374685</v>
      </c>
      <c r="I843">
        <f>F843*H843</f>
        <v/>
      </c>
      <c r="J843">
        <f>G843*H843</f>
        <v/>
      </c>
    </row>
    <row r="844">
      <c r="A844" t="inlineStr">
        <is>
          <t>bull</t>
        </is>
      </c>
      <c r="B844" t="n">
        <v>2034</v>
      </c>
      <c r="C844" t="inlineStr">
        <is>
          <t>academic_ruo</t>
        </is>
      </c>
      <c r="D844" t="inlineStr">
        <is>
          <t>China</t>
        </is>
      </c>
      <c r="E844" t="n">
        <v>11490341</v>
      </c>
      <c r="F844" t="n">
        <v>7009108</v>
      </c>
      <c r="G844" t="n">
        <v>329.0976</v>
      </c>
      <c r="H844" t="n">
        <v>0.374685</v>
      </c>
      <c r="I844">
        <f>F844*H844</f>
        <v/>
      </c>
      <c r="J844">
        <f>G844*H844</f>
        <v/>
      </c>
    </row>
    <row r="845">
      <c r="A845" t="inlineStr">
        <is>
          <t>bull</t>
        </is>
      </c>
      <c r="B845" t="n">
        <v>2034</v>
      </c>
      <c r="C845" t="inlineStr">
        <is>
          <t>academic_ruo</t>
        </is>
      </c>
      <c r="D845" t="inlineStr">
        <is>
          <t>Japan</t>
        </is>
      </c>
      <c r="E845" t="n">
        <v>3988208</v>
      </c>
      <c r="F845" t="n">
        <v>2432807</v>
      </c>
      <c r="G845" t="n">
        <v>53.0856</v>
      </c>
      <c r="H845" t="n">
        <v>0.374685</v>
      </c>
      <c r="I845">
        <f>F845*H845</f>
        <v/>
      </c>
      <c r="J845">
        <f>G845*H845</f>
        <v/>
      </c>
    </row>
    <row r="846">
      <c r="A846" t="inlineStr">
        <is>
          <t>bull</t>
        </is>
      </c>
      <c r="B846" t="n">
        <v>2034</v>
      </c>
      <c r="C846" t="inlineStr">
        <is>
          <t>academic_ruo</t>
        </is>
      </c>
      <c r="D846" t="inlineStr">
        <is>
          <t>Korea</t>
        </is>
      </c>
      <c r="E846" t="n">
        <v>3389878</v>
      </c>
      <c r="F846" t="n">
        <v>2067826</v>
      </c>
      <c r="G846" t="n">
        <v>47.6282</v>
      </c>
      <c r="H846" t="n">
        <v>0.374685</v>
      </c>
      <c r="I846">
        <f>F846*H846</f>
        <v/>
      </c>
      <c r="J846">
        <f>G846*H846</f>
        <v/>
      </c>
    </row>
    <row r="847">
      <c r="A847" t="inlineStr">
        <is>
          <t>bull</t>
        </is>
      </c>
      <c r="B847" t="n">
        <v>2034</v>
      </c>
      <c r="C847" t="inlineStr">
        <is>
          <t>academic_ruo</t>
        </is>
      </c>
      <c r="D847" t="inlineStr">
        <is>
          <t>RoW</t>
        </is>
      </c>
      <c r="E847" t="n">
        <v>12178452</v>
      </c>
      <c r="F847" t="n">
        <v>7428856</v>
      </c>
      <c r="G847" t="n">
        <v>192.4973</v>
      </c>
      <c r="H847" t="n">
        <v>0.374685</v>
      </c>
      <c r="I847">
        <f>F847*H847</f>
        <v/>
      </c>
      <c r="J847">
        <f>G847*H847</f>
        <v/>
      </c>
    </row>
    <row r="848">
      <c r="A848" t="inlineStr">
        <is>
          <t>bull</t>
        </is>
      </c>
      <c r="B848" t="n">
        <v>2034</v>
      </c>
      <c r="C848" t="inlineStr">
        <is>
          <t>pharma_preclinical_nam</t>
        </is>
      </c>
      <c r="D848" t="inlineStr">
        <is>
          <t>US</t>
        </is>
      </c>
      <c r="E848" t="n">
        <v>59534796</v>
      </c>
      <c r="F848" t="n">
        <v>32744138</v>
      </c>
      <c r="G848" t="n">
        <v>798.5596</v>
      </c>
      <c r="H848" t="n">
        <v>0.502768</v>
      </c>
      <c r="I848">
        <f>F848*H848</f>
        <v/>
      </c>
      <c r="J848">
        <f>G848*H848</f>
        <v/>
      </c>
    </row>
    <row r="849">
      <c r="A849" t="inlineStr">
        <is>
          <t>bull</t>
        </is>
      </c>
      <c r="B849" t="n">
        <v>2034</v>
      </c>
      <c r="C849" t="inlineStr">
        <is>
          <t>pharma_preclinical_nam</t>
        </is>
      </c>
      <c r="D849" t="inlineStr">
        <is>
          <t>EU</t>
        </is>
      </c>
      <c r="E849" t="n">
        <v>33074887</v>
      </c>
      <c r="F849" t="n">
        <v>18191188</v>
      </c>
      <c r="G849" t="n">
        <v>443.6442</v>
      </c>
      <c r="H849" t="n">
        <v>0.502768</v>
      </c>
      <c r="I849">
        <f>F849*H849</f>
        <v/>
      </c>
      <c r="J849">
        <f>G849*H849</f>
        <v/>
      </c>
    </row>
    <row r="850">
      <c r="A850" t="inlineStr">
        <is>
          <t>bull</t>
        </is>
      </c>
      <c r="B850" t="n">
        <v>2034</v>
      </c>
      <c r="C850" t="inlineStr">
        <is>
          <t>pharma_preclinical_nam</t>
        </is>
      </c>
      <c r="D850" t="inlineStr">
        <is>
          <t>China</t>
        </is>
      </c>
      <c r="E850" t="n">
        <v>8761537</v>
      </c>
      <c r="F850" t="n">
        <v>4818846</v>
      </c>
      <c r="G850" t="n">
        <v>266.1865</v>
      </c>
      <c r="H850" t="n">
        <v>0.502768</v>
      </c>
      <c r="I850">
        <f>F850*H850</f>
        <v/>
      </c>
      <c r="J850">
        <f>G850*H850</f>
        <v/>
      </c>
    </row>
    <row r="851">
      <c r="A851" t="inlineStr">
        <is>
          <t>bull</t>
        </is>
      </c>
      <c r="B851" t="n">
        <v>2034</v>
      </c>
      <c r="C851" t="inlineStr">
        <is>
          <t>pharma_preclinical_nam</t>
        </is>
      </c>
      <c r="D851" t="inlineStr">
        <is>
          <t>Japan</t>
        </is>
      </c>
      <c r="E851" t="n">
        <v>8797920</v>
      </c>
      <c r="F851" t="n">
        <v>4838856</v>
      </c>
      <c r="G851" t="n">
        <v>124.2204</v>
      </c>
      <c r="H851" t="n">
        <v>0.502768</v>
      </c>
      <c r="I851">
        <f>F851*H851</f>
        <v/>
      </c>
      <c r="J851">
        <f>G851*H851</f>
        <v/>
      </c>
    </row>
    <row r="852">
      <c r="A852" t="inlineStr">
        <is>
          <t>bull</t>
        </is>
      </c>
      <c r="B852" t="n">
        <v>2034</v>
      </c>
      <c r="C852" t="inlineStr">
        <is>
          <t>pharma_preclinical_nam</t>
        </is>
      </c>
      <c r="D852" t="inlineStr">
        <is>
          <t>Korea</t>
        </is>
      </c>
      <c r="E852" t="n">
        <v>3572088</v>
      </c>
      <c r="F852" t="n">
        <v>1964648</v>
      </c>
      <c r="G852" t="n">
        <v>53.2373</v>
      </c>
      <c r="H852" t="n">
        <v>0.502768</v>
      </c>
      <c r="I852">
        <f>F852*H852</f>
        <v/>
      </c>
      <c r="J852">
        <f>G852*H852</f>
        <v/>
      </c>
    </row>
    <row r="853">
      <c r="A853" t="inlineStr">
        <is>
          <t>bull</t>
        </is>
      </c>
      <c r="B853" t="n">
        <v>2034</v>
      </c>
      <c r="C853" t="inlineStr">
        <is>
          <t>pharma_preclinical_nam</t>
        </is>
      </c>
      <c r="D853" t="inlineStr">
        <is>
          <t>RoW</t>
        </is>
      </c>
      <c r="E853" t="n">
        <v>5291982</v>
      </c>
      <c r="F853" t="n">
        <v>2910590</v>
      </c>
      <c r="G853" t="n">
        <v>88.72880000000001</v>
      </c>
      <c r="H853" t="n">
        <v>0.502768</v>
      </c>
      <c r="I853">
        <f>F853*H853</f>
        <v/>
      </c>
      <c r="J853">
        <f>G853*H853</f>
        <v/>
      </c>
    </row>
    <row r="854">
      <c r="A854" t="inlineStr">
        <is>
          <t>bull</t>
        </is>
      </c>
      <c r="B854" t="n">
        <v>2034</v>
      </c>
      <c r="C854" t="inlineStr">
        <is>
          <t>organoid_cro_biobank</t>
        </is>
      </c>
      <c r="D854" t="inlineStr">
        <is>
          <t>US</t>
        </is>
      </c>
      <c r="E854" t="n">
        <v>16254196</v>
      </c>
      <c r="F854" t="n">
        <v>8127098</v>
      </c>
      <c r="G854" t="n">
        <v>224.6296</v>
      </c>
      <c r="H854" t="n">
        <v>0.10911</v>
      </c>
      <c r="I854">
        <f>F854*H854</f>
        <v/>
      </c>
      <c r="J854">
        <f>G854*H854</f>
        <v/>
      </c>
    </row>
    <row r="855">
      <c r="A855" t="inlineStr">
        <is>
          <t>bull</t>
        </is>
      </c>
      <c r="B855" t="n">
        <v>2034</v>
      </c>
      <c r="C855" t="inlineStr">
        <is>
          <t>organoid_cro_biobank</t>
        </is>
      </c>
      <c r="D855" t="inlineStr">
        <is>
          <t>EU</t>
        </is>
      </c>
      <c r="E855" t="n">
        <v>8127098</v>
      </c>
      <c r="F855" t="n">
        <v>4063549</v>
      </c>
      <c r="G855" t="n">
        <v>112.3148</v>
      </c>
      <c r="H855" t="n">
        <v>0.10911</v>
      </c>
      <c r="I855">
        <f>F855*H855</f>
        <v/>
      </c>
      <c r="J855">
        <f>G855*H855</f>
        <v/>
      </c>
    </row>
    <row r="856">
      <c r="A856" t="inlineStr">
        <is>
          <t>bull</t>
        </is>
      </c>
      <c r="B856" t="n">
        <v>2034</v>
      </c>
      <c r="C856" t="inlineStr">
        <is>
          <t>organoid_cro_biobank</t>
        </is>
      </c>
      <c r="D856" t="inlineStr">
        <is>
          <t>China</t>
        </is>
      </c>
      <c r="E856" t="n">
        <v>3946925</v>
      </c>
      <c r="F856" t="n">
        <v>1973463</v>
      </c>
      <c r="G856" t="n">
        <v>123.5463</v>
      </c>
      <c r="H856" t="n">
        <v>0.10911</v>
      </c>
      <c r="I856">
        <f>F856*H856</f>
        <v/>
      </c>
      <c r="J856">
        <f>G856*H856</f>
        <v/>
      </c>
    </row>
    <row r="857">
      <c r="A857" t="inlineStr">
        <is>
          <t>bull</t>
        </is>
      </c>
      <c r="B857" t="n">
        <v>2034</v>
      </c>
      <c r="C857" t="inlineStr">
        <is>
          <t>organoid_cro_biobank</t>
        </is>
      </c>
      <c r="D857" t="inlineStr">
        <is>
          <t>Japan</t>
        </is>
      </c>
      <c r="E857" t="n">
        <v>2316223</v>
      </c>
      <c r="F857" t="n">
        <v>1158111</v>
      </c>
      <c r="G857" t="n">
        <v>33.6944</v>
      </c>
      <c r="H857" t="n">
        <v>0.10911</v>
      </c>
      <c r="I857">
        <f>F857*H857</f>
        <v/>
      </c>
      <c r="J857">
        <f>G857*H857</f>
        <v/>
      </c>
    </row>
    <row r="858">
      <c r="A858" t="inlineStr">
        <is>
          <t>bull</t>
        </is>
      </c>
      <c r="B858" t="n">
        <v>2034</v>
      </c>
      <c r="C858" t="inlineStr">
        <is>
          <t>organoid_cro_biobank</t>
        </is>
      </c>
      <c r="D858" t="inlineStr">
        <is>
          <t>Korea</t>
        </is>
      </c>
      <c r="E858" t="n">
        <v>1828597</v>
      </c>
      <c r="F858" t="n">
        <v>914299</v>
      </c>
      <c r="G858" t="n">
        <v>28.0787</v>
      </c>
      <c r="H858" t="n">
        <v>0.10911</v>
      </c>
      <c r="I858">
        <f>F858*H858</f>
        <v/>
      </c>
      <c r="J858">
        <f>G858*H858</f>
        <v/>
      </c>
    </row>
    <row r="859">
      <c r="A859" t="inlineStr">
        <is>
          <t>bull</t>
        </is>
      </c>
      <c r="B859" t="n">
        <v>2034</v>
      </c>
      <c r="C859" t="inlineStr">
        <is>
          <t>organoid_cro_biobank</t>
        </is>
      </c>
      <c r="D859" t="inlineStr">
        <is>
          <t>RoW</t>
        </is>
      </c>
      <c r="E859" t="n">
        <v>2275588</v>
      </c>
      <c r="F859" t="n">
        <v>1137794</v>
      </c>
      <c r="G859" t="n">
        <v>39.3102</v>
      </c>
      <c r="H859" t="n">
        <v>0.10911</v>
      </c>
      <c r="I859">
        <f>F859*H859</f>
        <v/>
      </c>
      <c r="J859">
        <f>G859*H859</f>
        <v/>
      </c>
    </row>
    <row r="860">
      <c r="A860" t="inlineStr">
        <is>
          <t>bull</t>
        </is>
      </c>
      <c r="B860" t="n">
        <v>2034</v>
      </c>
      <c r="C860" t="inlineStr">
        <is>
          <t>clinical_dx_pdo</t>
        </is>
      </c>
      <c r="D860" t="inlineStr">
        <is>
          <t>US</t>
        </is>
      </c>
      <c r="E860" t="n">
        <v>4922925</v>
      </c>
      <c r="F860" t="n">
        <v>2215316</v>
      </c>
      <c r="G860" t="n">
        <v>45.9228</v>
      </c>
      <c r="H860" t="n">
        <v>0.146626</v>
      </c>
      <c r="I860">
        <f>F860*H860</f>
        <v/>
      </c>
      <c r="J860">
        <f>G860*H860</f>
        <v/>
      </c>
    </row>
    <row r="861">
      <c r="A861" t="inlineStr">
        <is>
          <t>bull</t>
        </is>
      </c>
      <c r="B861" t="n">
        <v>2034</v>
      </c>
      <c r="C861" t="inlineStr">
        <is>
          <t>clinical_dx_pdo</t>
        </is>
      </c>
      <c r="D861" t="inlineStr">
        <is>
          <t>EU</t>
        </is>
      </c>
      <c r="E861" t="n">
        <v>2953755</v>
      </c>
      <c r="F861" t="n">
        <v>1329190</v>
      </c>
      <c r="G861" t="n">
        <v>27.5537</v>
      </c>
      <c r="H861" t="n">
        <v>0.146626</v>
      </c>
      <c r="I861">
        <f>F861*H861</f>
        <v/>
      </c>
      <c r="J861">
        <f>G861*H861</f>
        <v/>
      </c>
    </row>
    <row r="862">
      <c r="A862" t="inlineStr">
        <is>
          <t>bull</t>
        </is>
      </c>
      <c r="B862" t="n">
        <v>2034</v>
      </c>
      <c r="C862" t="inlineStr">
        <is>
          <t>clinical_dx_pdo</t>
        </is>
      </c>
      <c r="D862" t="inlineStr">
        <is>
          <t>China</t>
        </is>
      </c>
      <c r="E862" t="n">
        <v>3912248</v>
      </c>
      <c r="F862" t="n">
        <v>1760512</v>
      </c>
      <c r="G862" t="n">
        <v>82.6611</v>
      </c>
      <c r="H862" t="n">
        <v>0.146626</v>
      </c>
      <c r="I862">
        <f>F862*H862</f>
        <v/>
      </c>
      <c r="J862">
        <f>G862*H862</f>
        <v/>
      </c>
    </row>
    <row r="863">
      <c r="A863" t="inlineStr">
        <is>
          <t>bull</t>
        </is>
      </c>
      <c r="B863" t="n">
        <v>2034</v>
      </c>
      <c r="C863" t="inlineStr">
        <is>
          <t>clinical_dx_pdo</t>
        </is>
      </c>
      <c r="D863" t="inlineStr">
        <is>
          <t>Japan</t>
        </is>
      </c>
      <c r="E863" t="n">
        <v>1122427</v>
      </c>
      <c r="F863" t="n">
        <v>505092</v>
      </c>
      <c r="G863" t="n">
        <v>11.0215</v>
      </c>
      <c r="H863" t="n">
        <v>0.146626</v>
      </c>
      <c r="I863">
        <f>F863*H863</f>
        <v/>
      </c>
      <c r="J863">
        <f>G863*H863</f>
        <v/>
      </c>
    </row>
    <row r="864">
      <c r="A864" t="inlineStr">
        <is>
          <t>bull</t>
        </is>
      </c>
      <c r="B864" t="n">
        <v>2034</v>
      </c>
      <c r="C864" t="inlineStr">
        <is>
          <t>clinical_dx_pdo</t>
        </is>
      </c>
      <c r="D864" t="inlineStr">
        <is>
          <t>Korea</t>
        </is>
      </c>
      <c r="E864" t="n">
        <v>886127</v>
      </c>
      <c r="F864" t="n">
        <v>398757</v>
      </c>
      <c r="G864" t="n">
        <v>9.1846</v>
      </c>
      <c r="H864" t="n">
        <v>0.146626</v>
      </c>
      <c r="I864">
        <f>F864*H864</f>
        <v/>
      </c>
      <c r="J864">
        <f>G864*H864</f>
        <v/>
      </c>
    </row>
    <row r="865">
      <c r="A865" t="inlineStr">
        <is>
          <t>bull</t>
        </is>
      </c>
      <c r="B865" t="n">
        <v>2034</v>
      </c>
      <c r="C865" t="inlineStr">
        <is>
          <t>clinical_dx_pdo</t>
        </is>
      </c>
      <c r="D865" t="inlineStr">
        <is>
          <t>RoW</t>
        </is>
      </c>
      <c r="E865" t="n">
        <v>630134</v>
      </c>
      <c r="F865" t="n">
        <v>283560</v>
      </c>
      <c r="G865" t="n">
        <v>7.3476</v>
      </c>
      <c r="H865" t="n">
        <v>0.146626</v>
      </c>
      <c r="I865">
        <f>F865*H865</f>
        <v/>
      </c>
      <c r="J865">
        <f>G865*H865</f>
        <v/>
      </c>
    </row>
    <row r="866">
      <c r="A866" t="inlineStr">
        <is>
          <t>bull</t>
        </is>
      </c>
      <c r="B866" t="n">
        <v>2034</v>
      </c>
      <c r="C866" t="inlineStr">
        <is>
          <t>regenerative_gmp</t>
        </is>
      </c>
      <c r="D866" t="inlineStr">
        <is>
          <t>US</t>
        </is>
      </c>
      <c r="E866" t="n">
        <v>1599508</v>
      </c>
      <c r="F866" t="n">
        <v>1599508</v>
      </c>
      <c r="G866" t="n">
        <v>13.621</v>
      </c>
      <c r="H866" t="n">
        <v>0.9055260000000001</v>
      </c>
      <c r="I866">
        <f>F866*H866</f>
        <v/>
      </c>
      <c r="J866">
        <f>G866*H866</f>
        <v/>
      </c>
    </row>
    <row r="867">
      <c r="A867" t="inlineStr">
        <is>
          <t>bull</t>
        </is>
      </c>
      <c r="B867" t="n">
        <v>2034</v>
      </c>
      <c r="C867" t="inlineStr">
        <is>
          <t>regenerative_gmp</t>
        </is>
      </c>
      <c r="D867" t="inlineStr">
        <is>
          <t>EU</t>
        </is>
      </c>
      <c r="E867" t="n">
        <v>1279607</v>
      </c>
      <c r="F867" t="n">
        <v>1279607</v>
      </c>
      <c r="G867" t="n">
        <v>10.8968</v>
      </c>
      <c r="H867" t="n">
        <v>0.9055260000000001</v>
      </c>
      <c r="I867">
        <f>F867*H867</f>
        <v/>
      </c>
      <c r="J867">
        <f>G867*H867</f>
        <v/>
      </c>
    </row>
    <row r="868">
      <c r="A868" t="inlineStr">
        <is>
          <t>bull</t>
        </is>
      </c>
      <c r="B868" t="n">
        <v>2034</v>
      </c>
      <c r="C868" t="inlineStr">
        <is>
          <t>regenerative_gmp</t>
        </is>
      </c>
      <c r="D868" t="inlineStr">
        <is>
          <t>China</t>
        </is>
      </c>
      <c r="E868" t="n">
        <v>282473</v>
      </c>
      <c r="F868" t="n">
        <v>282473</v>
      </c>
      <c r="G868" t="n">
        <v>5.4484</v>
      </c>
      <c r="H868" t="n">
        <v>0.9055260000000001</v>
      </c>
      <c r="I868">
        <f>F868*H868</f>
        <v/>
      </c>
      <c r="J868">
        <f>G868*H868</f>
        <v/>
      </c>
    </row>
    <row r="869">
      <c r="A869" t="inlineStr">
        <is>
          <t>bull</t>
        </is>
      </c>
      <c r="B869" t="n">
        <v>2034</v>
      </c>
      <c r="C869" t="inlineStr">
        <is>
          <t>regenerative_gmp</t>
        </is>
      </c>
      <c r="D869" t="inlineStr">
        <is>
          <t>Japan</t>
        </is>
      </c>
      <c r="E869" t="n">
        <v>2431253</v>
      </c>
      <c r="F869" t="n">
        <v>2431253</v>
      </c>
      <c r="G869" t="n">
        <v>21.7935</v>
      </c>
      <c r="H869" t="n">
        <v>0.9055260000000001</v>
      </c>
      <c r="I869">
        <f>F869*H869</f>
        <v/>
      </c>
      <c r="J869">
        <f>G869*H869</f>
        <v/>
      </c>
    </row>
    <row r="870">
      <c r="A870" t="inlineStr">
        <is>
          <t>bull</t>
        </is>
      </c>
      <c r="B870" t="n">
        <v>2034</v>
      </c>
      <c r="C870" t="inlineStr">
        <is>
          <t>regenerative_gmp</t>
        </is>
      </c>
      <c r="D870" t="inlineStr">
        <is>
          <t>Korea</t>
        </is>
      </c>
      <c r="E870" t="n">
        <v>287911</v>
      </c>
      <c r="F870" t="n">
        <v>287911</v>
      </c>
      <c r="G870" t="n">
        <v>2.7242</v>
      </c>
      <c r="H870" t="n">
        <v>0.9055260000000001</v>
      </c>
      <c r="I870">
        <f>F870*H870</f>
        <v/>
      </c>
      <c r="J870">
        <f>G870*H870</f>
        <v/>
      </c>
    </row>
    <row r="871">
      <c r="A871" t="inlineStr">
        <is>
          <t>bull</t>
        </is>
      </c>
      <c r="B871" t="n">
        <v>2034</v>
      </c>
      <c r="C871" t="inlineStr">
        <is>
          <t>regenerative_gmp</t>
        </is>
      </c>
      <c r="D871" t="inlineStr">
        <is>
          <t>RoW</t>
        </is>
      </c>
      <c r="E871" t="n">
        <v>0</v>
      </c>
      <c r="F871" t="n">
        <v>0</v>
      </c>
      <c r="G871" t="n">
        <v>0</v>
      </c>
      <c r="H871" t="n">
        <v>0.9055260000000001</v>
      </c>
      <c r="I871">
        <f>F871*H871</f>
        <v/>
      </c>
      <c r="J871">
        <f>G871*H871</f>
        <v/>
      </c>
    </row>
    <row r="872">
      <c r="A872" t="inlineStr">
        <is>
          <t>bull</t>
        </is>
      </c>
      <c r="B872" t="n">
        <v>2035</v>
      </c>
      <c r="C872" t="inlineStr">
        <is>
          <t>academic_ruo</t>
        </is>
      </c>
      <c r="D872" t="inlineStr">
        <is>
          <t>US</t>
        </is>
      </c>
      <c r="E872" t="n">
        <v>19675419</v>
      </c>
      <c r="F872" t="n">
        <v>12002006</v>
      </c>
      <c r="G872" t="n">
        <v>248.7978</v>
      </c>
      <c r="H872" t="n">
        <v>0.426387</v>
      </c>
      <c r="I872">
        <f>F872*H872</f>
        <v/>
      </c>
      <c r="J872">
        <f>G872*H872</f>
        <v/>
      </c>
    </row>
    <row r="873">
      <c r="A873" t="inlineStr">
        <is>
          <t>bull</t>
        </is>
      </c>
      <c r="B873" t="n">
        <v>2035</v>
      </c>
      <c r="C873" t="inlineStr">
        <is>
          <t>academic_ruo</t>
        </is>
      </c>
      <c r="D873" t="inlineStr">
        <is>
          <t>EU</t>
        </is>
      </c>
      <c r="E873" t="n">
        <v>21695222</v>
      </c>
      <c r="F873" t="n">
        <v>13234085</v>
      </c>
      <c r="G873" t="n">
        <v>274.3384</v>
      </c>
      <c r="H873" t="n">
        <v>0.426387</v>
      </c>
      <c r="I873">
        <f>F873*H873</f>
        <v/>
      </c>
      <c r="J873">
        <f>G873*H873</f>
        <v/>
      </c>
    </row>
    <row r="874">
      <c r="A874" t="inlineStr">
        <is>
          <t>bull</t>
        </is>
      </c>
      <c r="B874" t="n">
        <v>2035</v>
      </c>
      <c r="C874" t="inlineStr">
        <is>
          <t>academic_ruo</t>
        </is>
      </c>
      <c r="D874" t="inlineStr">
        <is>
          <t>China</t>
        </is>
      </c>
      <c r="E874" t="n">
        <v>12409568</v>
      </c>
      <c r="F874" t="n">
        <v>7569836</v>
      </c>
      <c r="G874" t="n">
        <v>355.4254</v>
      </c>
      <c r="H874" t="n">
        <v>0.426387</v>
      </c>
      <c r="I874">
        <f>F874*H874</f>
        <v/>
      </c>
      <c r="J874">
        <f>G874*H874</f>
        <v/>
      </c>
    </row>
    <row r="875">
      <c r="A875" t="inlineStr">
        <is>
          <t>bull</t>
        </is>
      </c>
      <c r="B875" t="n">
        <v>2035</v>
      </c>
      <c r="C875" t="inlineStr">
        <is>
          <t>academic_ruo</t>
        </is>
      </c>
      <c r="D875" t="inlineStr">
        <is>
          <t>Japan</t>
        </is>
      </c>
      <c r="E875" t="n">
        <v>4307264</v>
      </c>
      <c r="F875" t="n">
        <v>2627431</v>
      </c>
      <c r="G875" t="n">
        <v>57.3324</v>
      </c>
      <c r="H875" t="n">
        <v>0.426387</v>
      </c>
      <c r="I875">
        <f>F875*H875</f>
        <v/>
      </c>
      <c r="J875">
        <f>G875*H875</f>
        <v/>
      </c>
    </row>
    <row r="876">
      <c r="A876" t="inlineStr">
        <is>
          <t>bull</t>
        </is>
      </c>
      <c r="B876" t="n">
        <v>2035</v>
      </c>
      <c r="C876" t="inlineStr">
        <is>
          <t>academic_ruo</t>
        </is>
      </c>
      <c r="D876" t="inlineStr">
        <is>
          <t>Korea</t>
        </is>
      </c>
      <c r="E876" t="n">
        <v>3661069</v>
      </c>
      <c r="F876" t="n">
        <v>2233252</v>
      </c>
      <c r="G876" t="n">
        <v>51.4385</v>
      </c>
      <c r="H876" t="n">
        <v>0.426387</v>
      </c>
      <c r="I876">
        <f>F876*H876</f>
        <v/>
      </c>
      <c r="J876">
        <f>G876*H876</f>
        <v/>
      </c>
    </row>
    <row r="877">
      <c r="A877" t="inlineStr">
        <is>
          <t>bull</t>
        </is>
      </c>
      <c r="B877" t="n">
        <v>2035</v>
      </c>
      <c r="C877" t="inlineStr">
        <is>
          <t>academic_ruo</t>
        </is>
      </c>
      <c r="D877" t="inlineStr">
        <is>
          <t>RoW</t>
        </is>
      </c>
      <c r="E877" t="n">
        <v>13152728</v>
      </c>
      <c r="F877" t="n">
        <v>8023164</v>
      </c>
      <c r="G877" t="n">
        <v>207.8971</v>
      </c>
      <c r="H877" t="n">
        <v>0.426387</v>
      </c>
      <c r="I877">
        <f>F877*H877</f>
        <v/>
      </c>
      <c r="J877">
        <f>G877*H877</f>
        <v/>
      </c>
    </row>
    <row r="878">
      <c r="A878" t="inlineStr">
        <is>
          <t>bull</t>
        </is>
      </c>
      <c r="B878" t="n">
        <v>2035</v>
      </c>
      <c r="C878" t="inlineStr">
        <is>
          <t>pharma_preclinical_nam</t>
        </is>
      </c>
      <c r="D878" t="inlineStr">
        <is>
          <t>US</t>
        </is>
      </c>
      <c r="E878" t="n">
        <v>67573866</v>
      </c>
      <c r="F878" t="n">
        <v>37165626</v>
      </c>
      <c r="G878" t="n">
        <v>906.3903</v>
      </c>
      <c r="H878" t="n">
        <v>0.5472900000000001</v>
      </c>
      <c r="I878">
        <f>F878*H878</f>
        <v/>
      </c>
      <c r="J878">
        <f>G878*H878</f>
        <v/>
      </c>
    </row>
    <row r="879">
      <c r="A879" t="inlineStr">
        <is>
          <t>bull</t>
        </is>
      </c>
      <c r="B879" t="n">
        <v>2035</v>
      </c>
      <c r="C879" t="inlineStr">
        <is>
          <t>pharma_preclinical_nam</t>
        </is>
      </c>
      <c r="D879" t="inlineStr">
        <is>
          <t>EU</t>
        </is>
      </c>
      <c r="E879" t="n">
        <v>37541037</v>
      </c>
      <c r="F879" t="n">
        <v>20647570</v>
      </c>
      <c r="G879" t="n">
        <v>503.5501</v>
      </c>
      <c r="H879" t="n">
        <v>0.5472900000000001</v>
      </c>
      <c r="I879">
        <f>F879*H879</f>
        <v/>
      </c>
      <c r="J879">
        <f>G879*H879</f>
        <v/>
      </c>
    </row>
    <row r="880">
      <c r="A880" t="inlineStr">
        <is>
          <t>bull</t>
        </is>
      </c>
      <c r="B880" t="n">
        <v>2035</v>
      </c>
      <c r="C880" t="inlineStr">
        <is>
          <t>pharma_preclinical_nam</t>
        </is>
      </c>
      <c r="D880" t="inlineStr">
        <is>
          <t>China</t>
        </is>
      </c>
      <c r="E880" t="n">
        <v>9944621</v>
      </c>
      <c r="F880" t="n">
        <v>5469541</v>
      </c>
      <c r="G880" t="n">
        <v>302.1301</v>
      </c>
      <c r="H880" t="n">
        <v>0.5472900000000001</v>
      </c>
      <c r="I880">
        <f>F880*H880</f>
        <v/>
      </c>
      <c r="J880">
        <f>G880*H880</f>
        <v/>
      </c>
    </row>
    <row r="881">
      <c r="A881" t="inlineStr">
        <is>
          <t>bull</t>
        </is>
      </c>
      <c r="B881" t="n">
        <v>2035</v>
      </c>
      <c r="C881" t="inlineStr">
        <is>
          <t>pharma_preclinical_nam</t>
        </is>
      </c>
      <c r="D881" t="inlineStr">
        <is>
          <t>Japan</t>
        </is>
      </c>
      <c r="E881" t="n">
        <v>9985916</v>
      </c>
      <c r="F881" t="n">
        <v>5492254</v>
      </c>
      <c r="G881" t="n">
        <v>140.994</v>
      </c>
      <c r="H881" t="n">
        <v>0.5472900000000001</v>
      </c>
      <c r="I881">
        <f>F881*H881</f>
        <v/>
      </c>
      <c r="J881">
        <f>G881*H881</f>
        <v/>
      </c>
    </row>
    <row r="882">
      <c r="A882" t="inlineStr">
        <is>
          <t>bull</t>
        </is>
      </c>
      <c r="B882" t="n">
        <v>2035</v>
      </c>
      <c r="C882" t="inlineStr">
        <is>
          <t>pharma_preclinical_nam</t>
        </is>
      </c>
      <c r="D882" t="inlineStr">
        <is>
          <t>Korea</t>
        </is>
      </c>
      <c r="E882" t="n">
        <v>4054432</v>
      </c>
      <c r="F882" t="n">
        <v>2229938</v>
      </c>
      <c r="G882" t="n">
        <v>60.426</v>
      </c>
      <c r="H882" t="n">
        <v>0.5472900000000001</v>
      </c>
      <c r="I882">
        <f>F882*H882</f>
        <v/>
      </c>
      <c r="J882">
        <f>G882*H882</f>
        <v/>
      </c>
    </row>
    <row r="883">
      <c r="A883" t="inlineStr">
        <is>
          <t>bull</t>
        </is>
      </c>
      <c r="B883" t="n">
        <v>2035</v>
      </c>
      <c r="C883" t="inlineStr">
        <is>
          <t>pharma_preclinical_nam</t>
        </is>
      </c>
      <c r="D883" t="inlineStr">
        <is>
          <t>RoW</t>
        </is>
      </c>
      <c r="E883" t="n">
        <v>6006566</v>
      </c>
      <c r="F883" t="n">
        <v>3303611</v>
      </c>
      <c r="G883" t="n">
        <v>100.71</v>
      </c>
      <c r="H883" t="n">
        <v>0.5472900000000001</v>
      </c>
      <c r="I883">
        <f>F883*H883</f>
        <v/>
      </c>
      <c r="J883">
        <f>G883*H883</f>
        <v/>
      </c>
    </row>
    <row r="884">
      <c r="A884" t="inlineStr">
        <is>
          <t>bull</t>
        </is>
      </c>
      <c r="B884" t="n">
        <v>2035</v>
      </c>
      <c r="C884" t="inlineStr">
        <is>
          <t>organoid_cro_biobank</t>
        </is>
      </c>
      <c r="D884" t="inlineStr">
        <is>
          <t>US</t>
        </is>
      </c>
      <c r="E884" t="n">
        <v>18692326</v>
      </c>
      <c r="F884" t="n">
        <v>9346163</v>
      </c>
      <c r="G884" t="n">
        <v>258.324</v>
      </c>
      <c r="H884" t="n">
        <v>0.127529</v>
      </c>
      <c r="I884">
        <f>F884*H884</f>
        <v/>
      </c>
      <c r="J884">
        <f>G884*H884</f>
        <v/>
      </c>
    </row>
    <row r="885">
      <c r="A885" t="inlineStr">
        <is>
          <t>bull</t>
        </is>
      </c>
      <c r="B885" t="n">
        <v>2035</v>
      </c>
      <c r="C885" t="inlineStr">
        <is>
          <t>organoid_cro_biobank</t>
        </is>
      </c>
      <c r="D885" t="inlineStr">
        <is>
          <t>EU</t>
        </is>
      </c>
      <c r="E885" t="n">
        <v>9346163</v>
      </c>
      <c r="F885" t="n">
        <v>4673081</v>
      </c>
      <c r="G885" t="n">
        <v>129.162</v>
      </c>
      <c r="H885" t="n">
        <v>0.127529</v>
      </c>
      <c r="I885">
        <f>F885*H885</f>
        <v/>
      </c>
      <c r="J885">
        <f>G885*H885</f>
        <v/>
      </c>
    </row>
    <row r="886">
      <c r="A886" t="inlineStr">
        <is>
          <t>bull</t>
        </is>
      </c>
      <c r="B886" t="n">
        <v>2035</v>
      </c>
      <c r="C886" t="inlineStr">
        <is>
          <t>organoid_cro_biobank</t>
        </is>
      </c>
      <c r="D886" t="inlineStr">
        <is>
          <t>China</t>
        </is>
      </c>
      <c r="E886" t="n">
        <v>4538964</v>
      </c>
      <c r="F886" t="n">
        <v>2269482</v>
      </c>
      <c r="G886" t="n">
        <v>142.0782</v>
      </c>
      <c r="H886" t="n">
        <v>0.127529</v>
      </c>
      <c r="I886">
        <f>F886*H886</f>
        <v/>
      </c>
      <c r="J886">
        <f>G886*H886</f>
        <v/>
      </c>
    </row>
    <row r="887">
      <c r="A887" t="inlineStr">
        <is>
          <t>bull</t>
        </is>
      </c>
      <c r="B887" t="n">
        <v>2035</v>
      </c>
      <c r="C887" t="inlineStr">
        <is>
          <t>organoid_cro_biobank</t>
        </is>
      </c>
      <c r="D887" t="inlineStr">
        <is>
          <t>Japan</t>
        </is>
      </c>
      <c r="E887" t="n">
        <v>2663656</v>
      </c>
      <c r="F887" t="n">
        <v>1331828</v>
      </c>
      <c r="G887" t="n">
        <v>38.7486</v>
      </c>
      <c r="H887" t="n">
        <v>0.127529</v>
      </c>
      <c r="I887">
        <f>F887*H887</f>
        <v/>
      </c>
      <c r="J887">
        <f>G887*H887</f>
        <v/>
      </c>
    </row>
    <row r="888">
      <c r="A888" t="inlineStr">
        <is>
          <t>bull</t>
        </is>
      </c>
      <c r="B888" t="n">
        <v>2035</v>
      </c>
      <c r="C888" t="inlineStr">
        <is>
          <t>organoid_cro_biobank</t>
        </is>
      </c>
      <c r="D888" t="inlineStr">
        <is>
          <t>Korea</t>
        </is>
      </c>
      <c r="E888" t="n">
        <v>2102887</v>
      </c>
      <c r="F888" t="n">
        <v>1051443</v>
      </c>
      <c r="G888" t="n">
        <v>32.2905</v>
      </c>
      <c r="H888" t="n">
        <v>0.127529</v>
      </c>
      <c r="I888">
        <f>F888*H888</f>
        <v/>
      </c>
      <c r="J888">
        <f>G888*H888</f>
        <v/>
      </c>
    </row>
    <row r="889">
      <c r="A889" t="inlineStr">
        <is>
          <t>bull</t>
        </is>
      </c>
      <c r="B889" t="n">
        <v>2035</v>
      </c>
      <c r="C889" t="inlineStr">
        <is>
          <t>organoid_cro_biobank</t>
        </is>
      </c>
      <c r="D889" t="inlineStr">
        <is>
          <t>RoW</t>
        </is>
      </c>
      <c r="E889" t="n">
        <v>2616926</v>
      </c>
      <c r="F889" t="n">
        <v>1308463</v>
      </c>
      <c r="G889" t="n">
        <v>45.2067</v>
      </c>
      <c r="H889" t="n">
        <v>0.127529</v>
      </c>
      <c r="I889">
        <f>F889*H889</f>
        <v/>
      </c>
      <c r="J889">
        <f>G889*H889</f>
        <v/>
      </c>
    </row>
    <row r="890">
      <c r="A890" t="inlineStr">
        <is>
          <t>bull</t>
        </is>
      </c>
      <c r="B890" t="n">
        <v>2035</v>
      </c>
      <c r="C890" t="inlineStr">
        <is>
          <t>clinical_dx_pdo</t>
        </is>
      </c>
      <c r="D890" t="inlineStr">
        <is>
          <t>US</t>
        </is>
      </c>
      <c r="E890" t="n">
        <v>6498261</v>
      </c>
      <c r="F890" t="n">
        <v>2924217</v>
      </c>
      <c r="G890" t="n">
        <v>60.6181</v>
      </c>
      <c r="H890" t="n">
        <v>0.172469</v>
      </c>
      <c r="I890">
        <f>F890*H890</f>
        <v/>
      </c>
      <c r="J890">
        <f>G890*H890</f>
        <v/>
      </c>
    </row>
    <row r="891">
      <c r="A891" t="inlineStr">
        <is>
          <t>bull</t>
        </is>
      </c>
      <c r="B891" t="n">
        <v>2035</v>
      </c>
      <c r="C891" t="inlineStr">
        <is>
          <t>clinical_dx_pdo</t>
        </is>
      </c>
      <c r="D891" t="inlineStr">
        <is>
          <t>EU</t>
        </is>
      </c>
      <c r="E891" t="n">
        <v>3898957</v>
      </c>
      <c r="F891" t="n">
        <v>1754530</v>
      </c>
      <c r="G891" t="n">
        <v>36.3709</v>
      </c>
      <c r="H891" t="n">
        <v>0.172469</v>
      </c>
      <c r="I891">
        <f>F891*H891</f>
        <v/>
      </c>
      <c r="J891">
        <f>G891*H891</f>
        <v/>
      </c>
    </row>
    <row r="892">
      <c r="A892" t="inlineStr">
        <is>
          <t>bull</t>
        </is>
      </c>
      <c r="B892" t="n">
        <v>2035</v>
      </c>
      <c r="C892" t="inlineStr">
        <is>
          <t>clinical_dx_pdo</t>
        </is>
      </c>
      <c r="D892" t="inlineStr">
        <is>
          <t>China</t>
        </is>
      </c>
      <c r="E892" t="n">
        <v>5164168</v>
      </c>
      <c r="F892" t="n">
        <v>2323876</v>
      </c>
      <c r="G892" t="n">
        <v>109.1126</v>
      </c>
      <c r="H892" t="n">
        <v>0.172469</v>
      </c>
      <c r="I892">
        <f>F892*H892</f>
        <v/>
      </c>
      <c r="J892">
        <f>G892*H892</f>
        <v/>
      </c>
    </row>
    <row r="893">
      <c r="A893" t="inlineStr">
        <is>
          <t>bull</t>
        </is>
      </c>
      <c r="B893" t="n">
        <v>2035</v>
      </c>
      <c r="C893" t="inlineStr">
        <is>
          <t>clinical_dx_pdo</t>
        </is>
      </c>
      <c r="D893" t="inlineStr">
        <is>
          <t>Japan</t>
        </is>
      </c>
      <c r="E893" t="n">
        <v>1481604</v>
      </c>
      <c r="F893" t="n">
        <v>666722</v>
      </c>
      <c r="G893" t="n">
        <v>14.5483</v>
      </c>
      <c r="H893" t="n">
        <v>0.172469</v>
      </c>
      <c r="I893">
        <f>F893*H893</f>
        <v/>
      </c>
      <c r="J893">
        <f>G893*H893</f>
        <v/>
      </c>
    </row>
    <row r="894">
      <c r="A894" t="inlineStr">
        <is>
          <t>bull</t>
        </is>
      </c>
      <c r="B894" t="n">
        <v>2035</v>
      </c>
      <c r="C894" t="inlineStr">
        <is>
          <t>clinical_dx_pdo</t>
        </is>
      </c>
      <c r="D894" t="inlineStr">
        <is>
          <t>Korea</t>
        </is>
      </c>
      <c r="E894" t="n">
        <v>1169687</v>
      </c>
      <c r="F894" t="n">
        <v>526359</v>
      </c>
      <c r="G894" t="n">
        <v>12.1236</v>
      </c>
      <c r="H894" t="n">
        <v>0.172469</v>
      </c>
      <c r="I894">
        <f>F894*H894</f>
        <v/>
      </c>
      <c r="J894">
        <f>G894*H894</f>
        <v/>
      </c>
    </row>
    <row r="895">
      <c r="A895" t="inlineStr">
        <is>
          <t>bull</t>
        </is>
      </c>
      <c r="B895" t="n">
        <v>2035</v>
      </c>
      <c r="C895" t="inlineStr">
        <is>
          <t>clinical_dx_pdo</t>
        </is>
      </c>
      <c r="D895" t="inlineStr">
        <is>
          <t>RoW</t>
        </is>
      </c>
      <c r="E895" t="n">
        <v>831777</v>
      </c>
      <c r="F895" t="n">
        <v>374300</v>
      </c>
      <c r="G895" t="n">
        <v>9.6989</v>
      </c>
      <c r="H895" t="n">
        <v>0.172469</v>
      </c>
      <c r="I895">
        <f>F895*H895</f>
        <v/>
      </c>
      <c r="J895">
        <f>G895*H895</f>
        <v/>
      </c>
    </row>
    <row r="896">
      <c r="A896" t="inlineStr">
        <is>
          <t>bull</t>
        </is>
      </c>
      <c r="B896" t="n">
        <v>2035</v>
      </c>
      <c r="C896" t="inlineStr">
        <is>
          <t>regenerative_gmp</t>
        </is>
      </c>
      <c r="D896" t="inlineStr">
        <is>
          <t>US</t>
        </is>
      </c>
      <c r="E896" t="n">
        <v>2399262</v>
      </c>
      <c r="F896" t="n">
        <v>2399262</v>
      </c>
      <c r="G896" t="n">
        <v>20.4314</v>
      </c>
      <c r="H896" t="n">
        <v>0.931283</v>
      </c>
      <c r="I896">
        <f>F896*H896</f>
        <v/>
      </c>
      <c r="J896">
        <f>G896*H896</f>
        <v/>
      </c>
    </row>
    <row r="897">
      <c r="A897" t="inlineStr">
        <is>
          <t>bull</t>
        </is>
      </c>
      <c r="B897" t="n">
        <v>2035</v>
      </c>
      <c r="C897" t="inlineStr">
        <is>
          <t>regenerative_gmp</t>
        </is>
      </c>
      <c r="D897" t="inlineStr">
        <is>
          <t>EU</t>
        </is>
      </c>
      <c r="E897" t="n">
        <v>1919410</v>
      </c>
      <c r="F897" t="n">
        <v>1919410</v>
      </c>
      <c r="G897" t="n">
        <v>16.3451</v>
      </c>
      <c r="H897" t="n">
        <v>0.931283</v>
      </c>
      <c r="I897">
        <f>F897*H897</f>
        <v/>
      </c>
      <c r="J897">
        <f>G897*H897</f>
        <v/>
      </c>
    </row>
    <row r="898">
      <c r="A898" t="inlineStr">
        <is>
          <t>bull</t>
        </is>
      </c>
      <c r="B898" t="n">
        <v>2035</v>
      </c>
      <c r="C898" t="inlineStr">
        <is>
          <t>regenerative_gmp</t>
        </is>
      </c>
      <c r="D898" t="inlineStr">
        <is>
          <t>China</t>
        </is>
      </c>
      <c r="E898" t="n">
        <v>423710</v>
      </c>
      <c r="F898" t="n">
        <v>423710</v>
      </c>
      <c r="G898" t="n">
        <v>8.172599999999999</v>
      </c>
      <c r="H898" t="n">
        <v>0.931283</v>
      </c>
      <c r="I898">
        <f>F898*H898</f>
        <v/>
      </c>
      <c r="J898">
        <f>G898*H898</f>
        <v/>
      </c>
    </row>
    <row r="899">
      <c r="A899" t="inlineStr">
        <is>
          <t>bull</t>
        </is>
      </c>
      <c r="B899" t="n">
        <v>2035</v>
      </c>
      <c r="C899" t="inlineStr">
        <is>
          <t>regenerative_gmp</t>
        </is>
      </c>
      <c r="D899" t="inlineStr">
        <is>
          <t>Japan</t>
        </is>
      </c>
      <c r="E899" t="n">
        <v>3646879</v>
      </c>
      <c r="F899" t="n">
        <v>3646879</v>
      </c>
      <c r="G899" t="n">
        <v>32.6903</v>
      </c>
      <c r="H899" t="n">
        <v>0.931283</v>
      </c>
      <c r="I899">
        <f>F899*H899</f>
        <v/>
      </c>
      <c r="J899">
        <f>G899*H899</f>
        <v/>
      </c>
    </row>
    <row r="900">
      <c r="A900" t="inlineStr">
        <is>
          <t>bull</t>
        </is>
      </c>
      <c r="B900" t="n">
        <v>2035</v>
      </c>
      <c r="C900" t="inlineStr">
        <is>
          <t>regenerative_gmp</t>
        </is>
      </c>
      <c r="D900" t="inlineStr">
        <is>
          <t>Korea</t>
        </is>
      </c>
      <c r="E900" t="n">
        <v>431867</v>
      </c>
      <c r="F900" t="n">
        <v>431867</v>
      </c>
      <c r="G900" t="n">
        <v>4.0863</v>
      </c>
      <c r="H900" t="n">
        <v>0.931283</v>
      </c>
      <c r="I900">
        <f>F900*H900</f>
        <v/>
      </c>
      <c r="J900">
        <f>G900*H900</f>
        <v/>
      </c>
    </row>
    <row r="901">
      <c r="A901" t="inlineStr">
        <is>
          <t>bull</t>
        </is>
      </c>
      <c r="B901" t="n">
        <v>2035</v>
      </c>
      <c r="C901" t="inlineStr">
        <is>
          <t>regenerative_gmp</t>
        </is>
      </c>
      <c r="D901" t="inlineStr">
        <is>
          <t>RoW</t>
        </is>
      </c>
      <c r="E901" t="n">
        <v>0</v>
      </c>
      <c r="F901" t="n">
        <v>0</v>
      </c>
      <c r="G901" t="n">
        <v>0</v>
      </c>
      <c r="H901" t="n">
        <v>0.931283</v>
      </c>
      <c r="I901">
        <f>F901*H901</f>
        <v/>
      </c>
      <c r="J901">
        <f>G901*H901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Bear / Base / Bull P&amp;L — 스코프 A (현 제품정의). 물량·ASP 는 드라이버, 나머지는 엑셀 수식</t>
        </is>
      </c>
    </row>
    <row r="3">
      <c r="A3" s="6" t="inlineStr">
        <is>
          <t>[BEAR]  스코프 A</t>
        </is>
      </c>
    </row>
    <row r="4">
      <c r="A4" s="4" t="inlineStr">
        <is>
          <t>항목</t>
        </is>
      </c>
      <c r="B4" s="4" t="inlineStr">
        <is>
          <t>2026</t>
        </is>
      </c>
      <c r="C4" s="4" t="inlineStr">
        <is>
          <t>2027</t>
        </is>
      </c>
      <c r="D4" s="4" t="inlineStr">
        <is>
          <t>2028</t>
        </is>
      </c>
      <c r="E4" s="4" t="inlineStr">
        <is>
          <t>2029</t>
        </is>
      </c>
      <c r="F4" s="4" t="inlineStr">
        <is>
          <t>2030</t>
        </is>
      </c>
      <c r="G4" s="4" t="inlineStr">
        <is>
          <t>2031</t>
        </is>
      </c>
      <c r="H4" s="4" t="inlineStr">
        <is>
          <t>2032</t>
        </is>
      </c>
      <c r="I4" s="4" t="inlineStr">
        <is>
          <t>2033</t>
        </is>
      </c>
      <c r="J4" s="4" t="inlineStr">
        <is>
          <t>2034</t>
        </is>
      </c>
      <c r="K4" s="4" t="inlineStr">
        <is>
          <t>2035</t>
        </is>
      </c>
    </row>
    <row r="5">
      <c r="A5" s="2" t="inlineStr">
        <is>
          <t>판매 물량 (L)</t>
        </is>
      </c>
      <c r="B5" t="n">
        <v>0.762</v>
      </c>
      <c r="C5" t="n">
        <v>1.018</v>
      </c>
      <c r="D5" t="n">
        <v>1.379</v>
      </c>
      <c r="E5" t="n">
        <v>1.89</v>
      </c>
      <c r="F5" t="n">
        <v>2.622</v>
      </c>
      <c r="G5" t="n">
        <v>3.428</v>
      </c>
      <c r="H5" t="n">
        <v>4.476</v>
      </c>
      <c r="I5" t="n">
        <v>5.826</v>
      </c>
      <c r="J5" t="n">
        <v>7.551</v>
      </c>
      <c r="K5" t="n">
        <v>9.73</v>
      </c>
    </row>
    <row r="6">
      <c r="A6" s="2" t="inlineStr">
        <is>
          <t>ASP (USD/mL)</t>
        </is>
      </c>
      <c r="B6" t="n">
        <v>19.39</v>
      </c>
      <c r="C6" t="n">
        <v>18.6144</v>
      </c>
      <c r="D6" t="n">
        <v>17.8698</v>
      </c>
      <c r="E6" t="n">
        <v>17.155</v>
      </c>
      <c r="F6" t="n">
        <v>16.4688</v>
      </c>
      <c r="G6" t="n">
        <v>15.8101</v>
      </c>
      <c r="H6" t="n">
        <v>15.1777</v>
      </c>
      <c r="I6" t="n">
        <v>14.5706</v>
      </c>
      <c r="J6" t="n">
        <v>13.9877</v>
      </c>
      <c r="K6" t="n">
        <v>13.4282</v>
      </c>
    </row>
    <row r="7">
      <c r="A7" t="inlineStr">
        <is>
          <t>생산 물량 (L)</t>
        </is>
      </c>
      <c r="B7">
        <f>B5/Inputs!$D$8</f>
        <v/>
      </c>
      <c r="C7">
        <f>C5/Inputs!$D$8</f>
        <v/>
      </c>
      <c r="D7">
        <f>D5/Inputs!$D$8</f>
        <v/>
      </c>
      <c r="E7">
        <f>E5/Inputs!$D$8</f>
        <v/>
      </c>
      <c r="F7">
        <f>F5/Inputs!$D$8</f>
        <v/>
      </c>
      <c r="G7">
        <f>G5/Inputs!$D$8</f>
        <v/>
      </c>
      <c r="H7">
        <f>H5/Inputs!$D$8</f>
        <v/>
      </c>
      <c r="I7">
        <f>I5/Inputs!$D$8</f>
        <v/>
      </c>
      <c r="J7">
        <f>J5/Inputs!$D$8</f>
        <v/>
      </c>
      <c r="K7">
        <f>K5/Inputs!$D$8</f>
        <v/>
      </c>
    </row>
    <row r="8">
      <c r="A8" s="2" t="inlineStr">
        <is>
          <t>매출 (USD)</t>
        </is>
      </c>
      <c r="B8">
        <f>B5*1000*B6</f>
        <v/>
      </c>
      <c r="C8">
        <f>C5*1000*C6</f>
        <v/>
      </c>
      <c r="D8">
        <f>D5*1000*D6</f>
        <v/>
      </c>
      <c r="E8">
        <f>E5*1000*E6</f>
        <v/>
      </c>
      <c r="F8">
        <f>F5*1000*F6</f>
        <v/>
      </c>
      <c r="G8">
        <f>G5*1000*G6</f>
        <v/>
      </c>
      <c r="H8">
        <f>H5*1000*H6</f>
        <v/>
      </c>
      <c r="I8">
        <f>I5*1000*I6</f>
        <v/>
      </c>
      <c r="J8">
        <f>J5*1000*J6</f>
        <v/>
      </c>
      <c r="K8">
        <f>K5*1000*K6</f>
        <v/>
      </c>
    </row>
    <row r="9">
      <c r="A9" t="inlineStr">
        <is>
          <t>적용 고정비 (USD/년)</t>
        </is>
      </c>
      <c r="B9" t="n">
        <v>375000</v>
      </c>
      <c r="C9" t="n">
        <v>375000</v>
      </c>
      <c r="D9" t="n">
        <v>375000</v>
      </c>
      <c r="E9" t="n">
        <v>375000</v>
      </c>
      <c r="F9" t="n">
        <v>375000</v>
      </c>
      <c r="G9" t="n">
        <v>375000</v>
      </c>
      <c r="H9" t="n">
        <v>375000</v>
      </c>
      <c r="I9" t="n">
        <v>375000</v>
      </c>
      <c r="J9" t="n">
        <v>375000</v>
      </c>
      <c r="K9" t="n">
        <v>934215</v>
      </c>
    </row>
    <row r="10">
      <c r="A10" t="inlineStr">
        <is>
          <t>적용 변동비 (USD/판매mL)</t>
        </is>
      </c>
      <c r="B10" t="n">
        <v>9.485099999999999</v>
      </c>
      <c r="C10" t="n">
        <v>9.485099999999999</v>
      </c>
      <c r="D10" t="n">
        <v>9.485099999999999</v>
      </c>
      <c r="E10" t="n">
        <v>9.485099999999999</v>
      </c>
      <c r="F10" t="n">
        <v>9.485099999999999</v>
      </c>
      <c r="G10" t="n">
        <v>9.485099999999999</v>
      </c>
      <c r="H10" t="n">
        <v>9.485099999999999</v>
      </c>
      <c r="I10" t="n">
        <v>9.485099999999999</v>
      </c>
      <c r="J10" t="n">
        <v>9.485099999999999</v>
      </c>
      <c r="K10" t="n">
        <v>2.1247</v>
      </c>
    </row>
    <row r="11">
      <c r="A11" t="inlineStr">
        <is>
          <t>COGS (USD)</t>
        </is>
      </c>
      <c r="B11">
        <f>B9+B10*B5*1000</f>
        <v/>
      </c>
      <c r="C11">
        <f>C9+C10*C5*1000</f>
        <v/>
      </c>
      <c r="D11">
        <f>D9+D10*D5*1000</f>
        <v/>
      </c>
      <c r="E11">
        <f>E9+E10*E5*1000</f>
        <v/>
      </c>
      <c r="F11">
        <f>F9+F10*F5*1000</f>
        <v/>
      </c>
      <c r="G11">
        <f>G9+G10*G5*1000</f>
        <v/>
      </c>
      <c r="H11">
        <f>H9+H10*H5*1000</f>
        <v/>
      </c>
      <c r="I11">
        <f>I9+I10*I5*1000</f>
        <v/>
      </c>
      <c r="J11">
        <f>J9+J10*J5*1000</f>
        <v/>
      </c>
      <c r="K11">
        <f>K9+K10*K5*1000</f>
        <v/>
      </c>
    </row>
    <row r="12">
      <c r="A12" s="2" t="inlineStr">
        <is>
          <t>Gross Profit (USD)</t>
        </is>
      </c>
      <c r="B12">
        <f>B8-B11</f>
        <v/>
      </c>
      <c r="C12">
        <f>C8-C11</f>
        <v/>
      </c>
      <c r="D12">
        <f>D8-D11</f>
        <v/>
      </c>
      <c r="E12">
        <f>E8-E11</f>
        <v/>
      </c>
      <c r="F12">
        <f>F8-F11</f>
        <v/>
      </c>
      <c r="G12">
        <f>G8-G11</f>
        <v/>
      </c>
      <c r="H12">
        <f>H8-H11</f>
        <v/>
      </c>
      <c r="I12">
        <f>I8-I11</f>
        <v/>
      </c>
      <c r="J12">
        <f>J8-J11</f>
        <v/>
      </c>
      <c r="K12">
        <f>K8-K11</f>
        <v/>
      </c>
    </row>
    <row r="13">
      <c r="A13" s="2" t="inlineStr">
        <is>
          <t>GM %</t>
        </is>
      </c>
      <c r="B13" s="7">
        <f>IF(B8=0,0,B12/B8)</f>
        <v/>
      </c>
      <c r="C13" s="7">
        <f>IF(C8=0,0,C12/C8)</f>
        <v/>
      </c>
      <c r="D13" s="7">
        <f>IF(D8=0,0,D12/D8)</f>
        <v/>
      </c>
      <c r="E13" s="7">
        <f>IF(E8=0,0,E12/E8)</f>
        <v/>
      </c>
      <c r="F13" s="7">
        <f>IF(F8=0,0,F12/F8)</f>
        <v/>
      </c>
      <c r="G13" s="7">
        <f>IF(G8=0,0,G12/G8)</f>
        <v/>
      </c>
      <c r="H13" s="7">
        <f>IF(H8=0,0,H12/H8)</f>
        <v/>
      </c>
      <c r="I13" s="7">
        <f>IF(I8=0,0,I12/I8)</f>
        <v/>
      </c>
      <c r="J13" s="7">
        <f>IF(J8=0,0,J12/J8)</f>
        <v/>
      </c>
      <c r="K13" s="7">
        <f>IF(K8=0,0,K12/K8)</f>
        <v/>
      </c>
    </row>
    <row r="14">
      <c r="A14" t="inlineStr">
        <is>
          <t>SG&amp;A (USD)</t>
        </is>
      </c>
      <c r="B14" t="n">
        <v>572343</v>
      </c>
      <c r="C14" t="n">
        <v>572343</v>
      </c>
      <c r="D14" t="n">
        <v>1144686</v>
      </c>
      <c r="E14" t="n">
        <v>1144686</v>
      </c>
      <c r="F14" t="n">
        <v>1144686</v>
      </c>
      <c r="G14" t="n">
        <v>1144686</v>
      </c>
      <c r="H14" t="n">
        <v>1144686</v>
      </c>
      <c r="I14" t="n">
        <v>1144686</v>
      </c>
      <c r="J14" t="n">
        <v>1144686</v>
      </c>
      <c r="K14" t="n">
        <v>1144686</v>
      </c>
    </row>
    <row r="15">
      <c r="A15" t="inlineStr">
        <is>
          <t>R&amp;D (USD)</t>
        </is>
      </c>
      <c r="B15" t="n">
        <v>470000</v>
      </c>
      <c r="C15" t="n">
        <v>470000</v>
      </c>
      <c r="D15" t="n">
        <v>470000</v>
      </c>
      <c r="E15" t="n">
        <v>470000</v>
      </c>
      <c r="F15" t="n">
        <v>470000</v>
      </c>
      <c r="G15" t="n">
        <v>470000</v>
      </c>
      <c r="H15" t="n">
        <v>470000</v>
      </c>
      <c r="I15" t="n">
        <v>470000</v>
      </c>
      <c r="J15" t="n">
        <v>470000</v>
      </c>
      <c r="K15" t="n">
        <v>470000</v>
      </c>
    </row>
    <row r="16">
      <c r="A16" s="2" t="inlineStr">
        <is>
          <t>EBIT (USD)</t>
        </is>
      </c>
      <c r="B16">
        <f>B12-B14-B15</f>
        <v/>
      </c>
      <c r="C16">
        <f>C12-C14-C15</f>
        <v/>
      </c>
      <c r="D16">
        <f>D12-D14-D15</f>
        <v/>
      </c>
      <c r="E16">
        <f>E12-E14-E15</f>
        <v/>
      </c>
      <c r="F16">
        <f>F12-F14-F15</f>
        <v/>
      </c>
      <c r="G16">
        <f>G12-G14-G15</f>
        <v/>
      </c>
      <c r="H16">
        <f>H12-H14-H15</f>
        <v/>
      </c>
      <c r="I16">
        <f>I12-I14-I15</f>
        <v/>
      </c>
      <c r="J16">
        <f>J12-J14-J15</f>
        <v/>
      </c>
      <c r="K16">
        <f>K12-K14-K15</f>
        <v/>
      </c>
    </row>
    <row r="17">
      <c r="A17" t="inlineStr">
        <is>
          <t>감가상각 (USD)</t>
        </is>
      </c>
      <c r="B17" t="n">
        <v>35000</v>
      </c>
      <c r="C17" t="n">
        <v>35000</v>
      </c>
      <c r="D17" t="n">
        <v>35000</v>
      </c>
      <c r="E17" t="n">
        <v>35000</v>
      </c>
      <c r="F17" t="n">
        <v>35000</v>
      </c>
      <c r="G17" t="n">
        <v>35000</v>
      </c>
      <c r="H17" t="n">
        <v>35000</v>
      </c>
      <c r="I17" t="n">
        <v>35000</v>
      </c>
      <c r="J17" t="n">
        <v>35000</v>
      </c>
      <c r="K17" t="n">
        <v>154215</v>
      </c>
    </row>
    <row r="18">
      <c r="A18" t="inlineStr">
        <is>
          <t>CAPEX (USD)</t>
        </is>
      </c>
      <c r="B18" t="n">
        <v>350000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1192150</v>
      </c>
      <c r="K18" t="n">
        <v>0</v>
      </c>
    </row>
    <row r="19">
      <c r="A19" t="inlineStr">
        <is>
          <t>운전자본 증감 (USD)</t>
        </is>
      </c>
      <c r="B19" t="n">
        <v>3692</v>
      </c>
      <c r="C19" t="n">
        <v>1046</v>
      </c>
      <c r="D19" t="n">
        <v>1421</v>
      </c>
      <c r="E19" t="n">
        <v>1948</v>
      </c>
      <c r="F19" t="n">
        <v>2689</v>
      </c>
      <c r="G19" t="n">
        <v>2754</v>
      </c>
      <c r="H19" t="n">
        <v>3434</v>
      </c>
      <c r="I19" t="n">
        <v>4240</v>
      </c>
      <c r="J19" t="n">
        <v>5182</v>
      </c>
      <c r="K19" t="n">
        <v>6260</v>
      </c>
    </row>
    <row r="20">
      <c r="A20" t="inlineStr">
        <is>
          <t>법인세 (USD)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2" t="inlineStr">
        <is>
          <t>FCF (USD)</t>
        </is>
      </c>
      <c r="B21">
        <f>B16-B20+B17-B18-B19</f>
        <v/>
      </c>
      <c r="C21">
        <f>C16-C20+C17-C18-C19</f>
        <v/>
      </c>
      <c r="D21">
        <f>D16-D20+D17-D18-D19</f>
        <v/>
      </c>
      <c r="E21">
        <f>E16-E20+E17-E18-E19</f>
        <v/>
      </c>
      <c r="F21">
        <f>F16-F20+F17-F18-F19</f>
        <v/>
      </c>
      <c r="G21">
        <f>G16-G20+G17-G18-G19</f>
        <v/>
      </c>
      <c r="H21">
        <f>H16-H20+H17-H18-H19</f>
        <v/>
      </c>
      <c r="I21">
        <f>I16-I20+I17-I18-I19</f>
        <v/>
      </c>
      <c r="J21">
        <f>J16-J20+J17-J18-J19</f>
        <v/>
      </c>
      <c r="K21">
        <f>K16-K20+K17-K18-K19</f>
        <v/>
      </c>
    </row>
    <row r="22">
      <c r="A22" s="2" t="inlineStr">
        <is>
          <t>누적 FCF (USD)</t>
        </is>
      </c>
      <c r="B22">
        <f>B21</f>
        <v/>
      </c>
      <c r="C22">
        <f>B22+C21</f>
        <v/>
      </c>
      <c r="D22">
        <f>C22+D21</f>
        <v/>
      </c>
      <c r="E22">
        <f>D22+E21</f>
        <v/>
      </c>
      <c r="F22">
        <f>E22+F21</f>
        <v/>
      </c>
      <c r="G22">
        <f>F22+G21</f>
        <v/>
      </c>
      <c r="H22">
        <f>G22+H21</f>
        <v/>
      </c>
      <c r="I22">
        <f>H22+I21</f>
        <v/>
      </c>
      <c r="J22">
        <f>I22+J21</f>
        <v/>
      </c>
      <c r="K22">
        <f>J22+K21</f>
        <v/>
      </c>
    </row>
    <row r="23">
      <c r="A23" s="8" t="inlineStr">
        <is>
          <t>NPV (USD, 잔존가치 제외)</t>
        </is>
      </c>
      <c r="B23">
        <f>NPV(Gates!$B$2,C21:K21)+B21</f>
        <v/>
      </c>
    </row>
    <row r="24">
      <c r="A24" s="2" t="inlineStr">
        <is>
          <t>IRR (잔존가치 제외)</t>
        </is>
      </c>
      <c r="B24">
        <f>IFERROR(IRR(B21:K21),"미산출(부호변화 없음)")</f>
        <v/>
      </c>
    </row>
    <row r="25">
      <c r="A25" t="inlineStr">
        <is>
          <t>누적 판매물량 (L)</t>
        </is>
      </c>
      <c r="B25">
        <f>SUM(B5:K5)</f>
        <v/>
      </c>
    </row>
    <row r="27">
      <c r="A27" s="6" t="inlineStr">
        <is>
          <t>[BASE]  스코프 A</t>
        </is>
      </c>
    </row>
    <row r="28">
      <c r="A28" s="4" t="inlineStr">
        <is>
          <t>항목</t>
        </is>
      </c>
      <c r="B28" s="4" t="inlineStr">
        <is>
          <t>2026</t>
        </is>
      </c>
      <c r="C28" s="4" t="inlineStr">
        <is>
          <t>2027</t>
        </is>
      </c>
      <c r="D28" s="4" t="inlineStr">
        <is>
          <t>2028</t>
        </is>
      </c>
      <c r="E28" s="4" t="inlineStr">
        <is>
          <t>2029</t>
        </is>
      </c>
      <c r="F28" s="4" t="inlineStr">
        <is>
          <t>2030</t>
        </is>
      </c>
      <c r="G28" s="4" t="inlineStr">
        <is>
          <t>2031</t>
        </is>
      </c>
      <c r="H28" s="4" t="inlineStr">
        <is>
          <t>2032</t>
        </is>
      </c>
      <c r="I28" s="4" t="inlineStr">
        <is>
          <t>2033</t>
        </is>
      </c>
      <c r="J28" s="4" t="inlineStr">
        <is>
          <t>2034</t>
        </is>
      </c>
      <c r="K28" s="4" t="inlineStr">
        <is>
          <t>2035</t>
        </is>
      </c>
    </row>
    <row r="29">
      <c r="A29" s="2" t="inlineStr">
        <is>
          <t>판매 물량 (L)</t>
        </is>
      </c>
      <c r="B29" t="n">
        <v>3.595</v>
      </c>
      <c r="C29" t="n">
        <v>5.436</v>
      </c>
      <c r="D29" t="n">
        <v>8.305999999999999</v>
      </c>
      <c r="E29" t="n">
        <v>12.786</v>
      </c>
      <c r="F29" t="n">
        <v>19.758</v>
      </c>
      <c r="G29" t="n">
        <v>27.234</v>
      </c>
      <c r="H29" t="n">
        <v>37.103</v>
      </c>
      <c r="I29" t="n">
        <v>49.851</v>
      </c>
      <c r="J29" t="n">
        <v>65.59699999999999</v>
      </c>
      <c r="K29" t="n">
        <v>84.86</v>
      </c>
    </row>
    <row r="30">
      <c r="A30" s="2" t="inlineStr">
        <is>
          <t>ASP (USD/mL)</t>
        </is>
      </c>
      <c r="B30" t="n">
        <v>24.93</v>
      </c>
      <c r="C30" t="n">
        <v>24.4314</v>
      </c>
      <c r="D30" t="n">
        <v>23.9428</v>
      </c>
      <c r="E30" t="n">
        <v>23.4639</v>
      </c>
      <c r="F30" t="n">
        <v>22.9946</v>
      </c>
      <c r="G30" t="n">
        <v>22.5347</v>
      </c>
      <c r="H30" t="n">
        <v>22.0841</v>
      </c>
      <c r="I30" t="n">
        <v>21.6424</v>
      </c>
      <c r="J30" t="n">
        <v>21.2095</v>
      </c>
      <c r="K30" t="n">
        <v>20.7853</v>
      </c>
    </row>
    <row r="31">
      <c r="A31" t="inlineStr">
        <is>
          <t>생산 물량 (L)</t>
        </is>
      </c>
      <c r="B31">
        <f>B29/Inputs!$D$8</f>
        <v/>
      </c>
      <c r="C31">
        <f>C29/Inputs!$D$8</f>
        <v/>
      </c>
      <c r="D31">
        <f>D29/Inputs!$D$8</f>
        <v/>
      </c>
      <c r="E31">
        <f>E29/Inputs!$D$8</f>
        <v/>
      </c>
      <c r="F31">
        <f>F29/Inputs!$D$8</f>
        <v/>
      </c>
      <c r="G31">
        <f>G29/Inputs!$D$8</f>
        <v/>
      </c>
      <c r="H31">
        <f>H29/Inputs!$D$8</f>
        <v/>
      </c>
      <c r="I31">
        <f>I29/Inputs!$D$8</f>
        <v/>
      </c>
      <c r="J31">
        <f>J29/Inputs!$D$8</f>
        <v/>
      </c>
      <c r="K31">
        <f>K29/Inputs!$D$8</f>
        <v/>
      </c>
    </row>
    <row r="32">
      <c r="A32" s="2" t="inlineStr">
        <is>
          <t>매출 (USD)</t>
        </is>
      </c>
      <c r="B32">
        <f>B29*1000*B30</f>
        <v/>
      </c>
      <c r="C32">
        <f>C29*1000*C30</f>
        <v/>
      </c>
      <c r="D32">
        <f>D29*1000*D30</f>
        <v/>
      </c>
      <c r="E32">
        <f>E29*1000*E30</f>
        <v/>
      </c>
      <c r="F32">
        <f>F29*1000*F30</f>
        <v/>
      </c>
      <c r="G32">
        <f>G29*1000*G30</f>
        <v/>
      </c>
      <c r="H32">
        <f>H29*1000*H30</f>
        <v/>
      </c>
      <c r="I32">
        <f>I29*1000*I30</f>
        <v/>
      </c>
      <c r="J32">
        <f>J29*1000*J30</f>
        <v/>
      </c>
      <c r="K32">
        <f>K29*1000*K30</f>
        <v/>
      </c>
    </row>
    <row r="33">
      <c r="A33" t="inlineStr">
        <is>
          <t>적용 고정비 (USD/년)</t>
        </is>
      </c>
      <c r="B33" t="n">
        <v>375000</v>
      </c>
      <c r="C33" t="n">
        <v>375000</v>
      </c>
      <c r="D33" t="n">
        <v>375000</v>
      </c>
      <c r="E33" t="n">
        <v>934215</v>
      </c>
      <c r="F33" t="n">
        <v>934215</v>
      </c>
      <c r="G33" t="n">
        <v>934215</v>
      </c>
      <c r="H33" t="n">
        <v>934215</v>
      </c>
      <c r="I33" t="n">
        <v>934215</v>
      </c>
      <c r="J33" t="n">
        <v>934215</v>
      </c>
      <c r="K33" t="n">
        <v>1932700</v>
      </c>
    </row>
    <row r="34">
      <c r="A34" t="inlineStr">
        <is>
          <t>적용 변동비 (USD/판매mL)</t>
        </is>
      </c>
      <c r="B34" t="n">
        <v>9.485099999999999</v>
      </c>
      <c r="C34" t="n">
        <v>9.485099999999999</v>
      </c>
      <c r="D34" t="n">
        <v>9.485099999999999</v>
      </c>
      <c r="E34" t="n">
        <v>2.1247</v>
      </c>
      <c r="F34" t="n">
        <v>2.1247</v>
      </c>
      <c r="G34" t="n">
        <v>2.1247</v>
      </c>
      <c r="H34" t="n">
        <v>2.1247</v>
      </c>
      <c r="I34" t="n">
        <v>2.1247</v>
      </c>
      <c r="J34" t="n">
        <v>2.1247</v>
      </c>
      <c r="K34" t="n">
        <v>0.7447</v>
      </c>
    </row>
    <row r="35">
      <c r="A35" t="inlineStr">
        <is>
          <t>COGS (USD)</t>
        </is>
      </c>
      <c r="B35">
        <f>B33+B34*B29*1000</f>
        <v/>
      </c>
      <c r="C35">
        <f>C33+C34*C29*1000</f>
        <v/>
      </c>
      <c r="D35">
        <f>D33+D34*D29*1000</f>
        <v/>
      </c>
      <c r="E35">
        <f>E33+E34*E29*1000</f>
        <v/>
      </c>
      <c r="F35">
        <f>F33+F34*F29*1000</f>
        <v/>
      </c>
      <c r="G35">
        <f>G33+G34*G29*1000</f>
        <v/>
      </c>
      <c r="H35">
        <f>H33+H34*H29*1000</f>
        <v/>
      </c>
      <c r="I35">
        <f>I33+I34*I29*1000</f>
        <v/>
      </c>
      <c r="J35">
        <f>J33+J34*J29*1000</f>
        <v/>
      </c>
      <c r="K35">
        <f>K33+K34*K29*1000</f>
        <v/>
      </c>
    </row>
    <row r="36">
      <c r="A36" s="2" t="inlineStr">
        <is>
          <t>Gross Profit (USD)</t>
        </is>
      </c>
      <c r="B36">
        <f>B32-B35</f>
        <v/>
      </c>
      <c r="C36">
        <f>C32-C35</f>
        <v/>
      </c>
      <c r="D36">
        <f>D32-D35</f>
        <v/>
      </c>
      <c r="E36">
        <f>E32-E35</f>
        <v/>
      </c>
      <c r="F36">
        <f>F32-F35</f>
        <v/>
      </c>
      <c r="G36">
        <f>G32-G35</f>
        <v/>
      </c>
      <c r="H36">
        <f>H32-H35</f>
        <v/>
      </c>
      <c r="I36">
        <f>I32-I35</f>
        <v/>
      </c>
      <c r="J36">
        <f>J32-J35</f>
        <v/>
      </c>
      <c r="K36">
        <f>K32-K35</f>
        <v/>
      </c>
    </row>
    <row r="37">
      <c r="A37" s="2" t="inlineStr">
        <is>
          <t>GM %</t>
        </is>
      </c>
      <c r="B37" s="7">
        <f>IF(B32=0,0,B36/B32)</f>
        <v/>
      </c>
      <c r="C37" s="7">
        <f>IF(C32=0,0,C36/C32)</f>
        <v/>
      </c>
      <c r="D37" s="7">
        <f>IF(D32=0,0,D36/D32)</f>
        <v/>
      </c>
      <c r="E37" s="7">
        <f>IF(E32=0,0,E36/E32)</f>
        <v/>
      </c>
      <c r="F37" s="7">
        <f>IF(F32=0,0,F36/F32)</f>
        <v/>
      </c>
      <c r="G37" s="7">
        <f>IF(G32=0,0,G36/G32)</f>
        <v/>
      </c>
      <c r="H37" s="7">
        <f>IF(H32=0,0,H36/H32)</f>
        <v/>
      </c>
      <c r="I37" s="7">
        <f>IF(I32=0,0,I36/I32)</f>
        <v/>
      </c>
      <c r="J37" s="7">
        <f>IF(J32=0,0,J36/J32)</f>
        <v/>
      </c>
      <c r="K37" s="7">
        <f>IF(K32=0,0,K36/K32)</f>
        <v/>
      </c>
    </row>
    <row r="38">
      <c r="A38" t="inlineStr">
        <is>
          <t>SG&amp;A (USD)</t>
        </is>
      </c>
      <c r="B38" t="n">
        <v>572343</v>
      </c>
      <c r="C38" t="n">
        <v>572343</v>
      </c>
      <c r="D38" t="n">
        <v>1144686</v>
      </c>
      <c r="E38" t="n">
        <v>1144686</v>
      </c>
      <c r="F38" t="n">
        <v>1144686</v>
      </c>
      <c r="G38" t="n">
        <v>1144686</v>
      </c>
      <c r="H38" t="n">
        <v>1144686</v>
      </c>
      <c r="I38" t="n">
        <v>1144686</v>
      </c>
      <c r="J38" t="n">
        <v>1144686</v>
      </c>
      <c r="K38" t="n">
        <v>1144686</v>
      </c>
    </row>
    <row r="39">
      <c r="A39" t="inlineStr">
        <is>
          <t>R&amp;D (USD)</t>
        </is>
      </c>
      <c r="B39" t="n">
        <v>470000</v>
      </c>
      <c r="C39" t="n">
        <v>470000</v>
      </c>
      <c r="D39" t="n">
        <v>470000</v>
      </c>
      <c r="E39" t="n">
        <v>470000</v>
      </c>
      <c r="F39" t="n">
        <v>470000</v>
      </c>
      <c r="G39" t="n">
        <v>470000</v>
      </c>
      <c r="H39" t="n">
        <v>470000</v>
      </c>
      <c r="I39" t="n">
        <v>470000</v>
      </c>
      <c r="J39" t="n">
        <v>470000</v>
      </c>
      <c r="K39" t="n">
        <v>470000</v>
      </c>
    </row>
    <row r="40">
      <c r="A40" s="2" t="inlineStr">
        <is>
          <t>EBIT (USD)</t>
        </is>
      </c>
      <c r="B40">
        <f>B36-B38-B39</f>
        <v/>
      </c>
      <c r="C40">
        <f>C36-C38-C39</f>
        <v/>
      </c>
      <c r="D40">
        <f>D36-D38-D39</f>
        <v/>
      </c>
      <c r="E40">
        <f>E36-E38-E39</f>
        <v/>
      </c>
      <c r="F40">
        <f>F36-F38-F39</f>
        <v/>
      </c>
      <c r="G40">
        <f>G36-G38-G39</f>
        <v/>
      </c>
      <c r="H40">
        <f>H36-H38-H39</f>
        <v/>
      </c>
      <c r="I40">
        <f>I36-I38-I39</f>
        <v/>
      </c>
      <c r="J40">
        <f>J36-J38-J39</f>
        <v/>
      </c>
      <c r="K40">
        <f>K36-K38-K39</f>
        <v/>
      </c>
    </row>
    <row r="41">
      <c r="A41" t="inlineStr">
        <is>
          <t>감가상각 (USD)</t>
        </is>
      </c>
      <c r="B41" t="n">
        <v>35000</v>
      </c>
      <c r="C41" t="n">
        <v>35000</v>
      </c>
      <c r="D41" t="n">
        <v>35000</v>
      </c>
      <c r="E41" t="n">
        <v>154215</v>
      </c>
      <c r="F41" t="n">
        <v>154215</v>
      </c>
      <c r="G41" t="n">
        <v>154215</v>
      </c>
      <c r="H41" t="n">
        <v>154215</v>
      </c>
      <c r="I41" t="n">
        <v>154215</v>
      </c>
      <c r="J41" t="n">
        <v>154215</v>
      </c>
      <c r="K41" t="n">
        <v>342700</v>
      </c>
    </row>
    <row r="42">
      <c r="A42" t="inlineStr">
        <is>
          <t>CAPEX (USD)</t>
        </is>
      </c>
      <c r="B42" t="n">
        <v>350000</v>
      </c>
      <c r="C42" t="n">
        <v>0</v>
      </c>
      <c r="D42" t="n">
        <v>1192150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1884850</v>
      </c>
      <c r="K42" t="n">
        <v>0</v>
      </c>
    </row>
    <row r="43">
      <c r="A43" t="inlineStr">
        <is>
          <t>운전자본 증감 (USD)</t>
        </is>
      </c>
      <c r="B43" t="n">
        <v>22406</v>
      </c>
      <c r="C43" t="n">
        <v>10798</v>
      </c>
      <c r="D43" t="n">
        <v>16514</v>
      </c>
      <c r="E43" t="n">
        <v>25287</v>
      </c>
      <c r="F43" t="n">
        <v>38578</v>
      </c>
      <c r="G43" t="n">
        <v>39846</v>
      </c>
      <c r="H43" t="n">
        <v>51417</v>
      </c>
      <c r="I43" t="n">
        <v>64877</v>
      </c>
      <c r="J43" t="n">
        <v>78099</v>
      </c>
      <c r="K43" t="n">
        <v>93137</v>
      </c>
    </row>
    <row r="44">
      <c r="A44" t="inlineStr">
        <is>
          <t>법인세 (USD)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2" t="inlineStr">
        <is>
          <t>FCF (USD)</t>
        </is>
      </c>
      <c r="B45">
        <f>B40-B44+B41-B42-B43</f>
        <v/>
      </c>
      <c r="C45">
        <f>C40-C44+C41-C42-C43</f>
        <v/>
      </c>
      <c r="D45">
        <f>D40-D44+D41-D42-D43</f>
        <v/>
      </c>
      <c r="E45">
        <f>E40-E44+E41-E42-E43</f>
        <v/>
      </c>
      <c r="F45">
        <f>F40-F44+F41-F42-F43</f>
        <v/>
      </c>
      <c r="G45">
        <f>G40-G44+G41-G42-G43</f>
        <v/>
      </c>
      <c r="H45">
        <f>H40-H44+H41-H42-H43</f>
        <v/>
      </c>
      <c r="I45">
        <f>I40-I44+I41-I42-I43</f>
        <v/>
      </c>
      <c r="J45">
        <f>J40-J44+J41-J42-J43</f>
        <v/>
      </c>
      <c r="K45">
        <f>K40-K44+K41-K42-K43</f>
        <v/>
      </c>
    </row>
    <row r="46">
      <c r="A46" s="2" t="inlineStr">
        <is>
          <t>누적 FCF (USD)</t>
        </is>
      </c>
      <c r="B46">
        <f>B45</f>
        <v/>
      </c>
      <c r="C46">
        <f>B46+C45</f>
        <v/>
      </c>
      <c r="D46">
        <f>C46+D45</f>
        <v/>
      </c>
      <c r="E46">
        <f>D46+E45</f>
        <v/>
      </c>
      <c r="F46">
        <f>E46+F45</f>
        <v/>
      </c>
      <c r="G46">
        <f>F46+G45</f>
        <v/>
      </c>
      <c r="H46">
        <f>G46+H45</f>
        <v/>
      </c>
      <c r="I46">
        <f>H46+I45</f>
        <v/>
      </c>
      <c r="J46">
        <f>I46+J45</f>
        <v/>
      </c>
      <c r="K46">
        <f>J46+K45</f>
        <v/>
      </c>
    </row>
    <row r="47">
      <c r="A47" s="8" t="inlineStr">
        <is>
          <t>NPV (USD, 잔존가치 제외)</t>
        </is>
      </c>
      <c r="B47">
        <f>NPV(Gates!$B$2,C45:K45)+B45</f>
        <v/>
      </c>
    </row>
    <row r="48">
      <c r="A48" s="2" t="inlineStr">
        <is>
          <t>IRR (잔존가치 제외)</t>
        </is>
      </c>
      <c r="B48">
        <f>IFERROR(IRR(B45:K45),"미산출(부호변화 없음)")</f>
        <v/>
      </c>
    </row>
    <row r="49">
      <c r="A49" t="inlineStr">
        <is>
          <t>누적 판매물량 (L)</t>
        </is>
      </c>
      <c r="B49">
        <f>SUM(B29:K29)</f>
        <v/>
      </c>
    </row>
    <row r="51">
      <c r="A51" s="6" t="inlineStr">
        <is>
          <t>[BULL]  스코프 A</t>
        </is>
      </c>
    </row>
    <row r="52">
      <c r="A52" s="4" t="inlineStr">
        <is>
          <t>항목</t>
        </is>
      </c>
      <c r="B52" s="4" t="inlineStr">
        <is>
          <t>2026</t>
        </is>
      </c>
      <c r="C52" s="4" t="inlineStr">
        <is>
          <t>2027</t>
        </is>
      </c>
      <c r="D52" s="4" t="inlineStr">
        <is>
          <t>2028</t>
        </is>
      </c>
      <c r="E52" s="4" t="inlineStr">
        <is>
          <t>2029</t>
        </is>
      </c>
      <c r="F52" s="4" t="inlineStr">
        <is>
          <t>2030</t>
        </is>
      </c>
      <c r="G52" s="4" t="inlineStr">
        <is>
          <t>2031</t>
        </is>
      </c>
      <c r="H52" s="4" t="inlineStr">
        <is>
          <t>2032</t>
        </is>
      </c>
      <c r="I52" s="4" t="inlineStr">
        <is>
          <t>2033</t>
        </is>
      </c>
      <c r="J52" s="4" t="inlineStr">
        <is>
          <t>2034</t>
        </is>
      </c>
      <c r="K52" s="4" t="inlineStr">
        <is>
          <t>2035</t>
        </is>
      </c>
    </row>
    <row r="53">
      <c r="A53" s="2" t="inlineStr">
        <is>
          <t>판매 물량 (L)</t>
        </is>
      </c>
      <c r="B53" t="n">
        <v>12.759</v>
      </c>
      <c r="C53" t="n">
        <v>21.59</v>
      </c>
      <c r="D53" t="n">
        <v>36.476</v>
      </c>
      <c r="E53" t="n">
        <v>61.179</v>
      </c>
      <c r="F53" t="n">
        <v>101.247</v>
      </c>
      <c r="G53" t="n">
        <v>141.53</v>
      </c>
      <c r="H53" t="n">
        <v>191.987</v>
      </c>
      <c r="I53" t="n">
        <v>253.509</v>
      </c>
      <c r="J53" t="n">
        <v>326.65</v>
      </c>
      <c r="K53" t="n">
        <v>412.399</v>
      </c>
    </row>
    <row r="54">
      <c r="A54" s="2" t="inlineStr">
        <is>
          <t>ASP (USD/mL)</t>
        </is>
      </c>
      <c r="B54" t="n">
        <v>32</v>
      </c>
      <c r="C54" t="n">
        <v>32</v>
      </c>
      <c r="D54" t="n">
        <v>32</v>
      </c>
      <c r="E54" t="n">
        <v>32</v>
      </c>
      <c r="F54" t="n">
        <v>32</v>
      </c>
      <c r="G54" t="n">
        <v>32</v>
      </c>
      <c r="H54" t="n">
        <v>32</v>
      </c>
      <c r="I54" t="n">
        <v>32</v>
      </c>
      <c r="J54" t="n">
        <v>32</v>
      </c>
      <c r="K54" t="n">
        <v>32</v>
      </c>
    </row>
    <row r="55">
      <c r="A55" t="inlineStr">
        <is>
          <t>생산 물량 (L)</t>
        </is>
      </c>
      <c r="B55">
        <f>B53/Inputs!$D$8</f>
        <v/>
      </c>
      <c r="C55">
        <f>C53/Inputs!$D$8</f>
        <v/>
      </c>
      <c r="D55">
        <f>D53/Inputs!$D$8</f>
        <v/>
      </c>
      <c r="E55">
        <f>E53/Inputs!$D$8</f>
        <v/>
      </c>
      <c r="F55">
        <f>F53/Inputs!$D$8</f>
        <v/>
      </c>
      <c r="G55">
        <f>G53/Inputs!$D$8</f>
        <v/>
      </c>
      <c r="H55">
        <f>H53/Inputs!$D$8</f>
        <v/>
      </c>
      <c r="I55">
        <f>I53/Inputs!$D$8</f>
        <v/>
      </c>
      <c r="J55">
        <f>J53/Inputs!$D$8</f>
        <v/>
      </c>
      <c r="K55">
        <f>K53/Inputs!$D$8</f>
        <v/>
      </c>
    </row>
    <row r="56">
      <c r="A56" s="2" t="inlineStr">
        <is>
          <t>매출 (USD)</t>
        </is>
      </c>
      <c r="B56">
        <f>B53*1000*B54</f>
        <v/>
      </c>
      <c r="C56">
        <f>C53*1000*C54</f>
        <v/>
      </c>
      <c r="D56">
        <f>D53*1000*D54</f>
        <v/>
      </c>
      <c r="E56">
        <f>E53*1000*E54</f>
        <v/>
      </c>
      <c r="F56">
        <f>F53*1000*F54</f>
        <v/>
      </c>
      <c r="G56">
        <f>G53*1000*G54</f>
        <v/>
      </c>
      <c r="H56">
        <f>H53*1000*H54</f>
        <v/>
      </c>
      <c r="I56">
        <f>I53*1000*I54</f>
        <v/>
      </c>
      <c r="J56">
        <f>J53*1000*J54</f>
        <v/>
      </c>
      <c r="K56">
        <f>K53*1000*K54</f>
        <v/>
      </c>
    </row>
    <row r="57">
      <c r="A57" t="inlineStr">
        <is>
          <t>적용 고정비 (USD/년)</t>
        </is>
      </c>
      <c r="B57" t="n">
        <v>934215</v>
      </c>
      <c r="C57" t="n">
        <v>934215</v>
      </c>
      <c r="D57" t="n">
        <v>934215</v>
      </c>
      <c r="E57" t="n">
        <v>934215</v>
      </c>
      <c r="F57" t="n">
        <v>1932700</v>
      </c>
      <c r="G57" t="n">
        <v>1932700</v>
      </c>
      <c r="H57" t="n">
        <v>1932700</v>
      </c>
      <c r="I57" t="n">
        <v>1932700</v>
      </c>
      <c r="J57" t="n">
        <v>1932700</v>
      </c>
      <c r="K57" t="n">
        <v>1932700</v>
      </c>
    </row>
    <row r="58">
      <c r="A58" t="inlineStr">
        <is>
          <t>적용 변동비 (USD/판매mL)</t>
        </is>
      </c>
      <c r="B58" t="n">
        <v>2.1247</v>
      </c>
      <c r="C58" t="n">
        <v>2.1247</v>
      </c>
      <c r="D58" t="n">
        <v>2.1247</v>
      </c>
      <c r="E58" t="n">
        <v>2.1247</v>
      </c>
      <c r="F58" t="n">
        <v>0.7447</v>
      </c>
      <c r="G58" t="n">
        <v>0.7447</v>
      </c>
      <c r="H58" t="n">
        <v>0.7447</v>
      </c>
      <c r="I58" t="n">
        <v>0.7447</v>
      </c>
      <c r="J58" t="n">
        <v>0.7447</v>
      </c>
      <c r="K58" t="n">
        <v>0.7447</v>
      </c>
    </row>
    <row r="59">
      <c r="A59" t="inlineStr">
        <is>
          <t>COGS (USD)</t>
        </is>
      </c>
      <c r="B59">
        <f>B57+B58*B53*1000</f>
        <v/>
      </c>
      <c r="C59">
        <f>C57+C58*C53*1000</f>
        <v/>
      </c>
      <c r="D59">
        <f>D57+D58*D53*1000</f>
        <v/>
      </c>
      <c r="E59">
        <f>E57+E58*E53*1000</f>
        <v/>
      </c>
      <c r="F59">
        <f>F57+F58*F53*1000</f>
        <v/>
      </c>
      <c r="G59">
        <f>G57+G58*G53*1000</f>
        <v/>
      </c>
      <c r="H59">
        <f>H57+H58*H53*1000</f>
        <v/>
      </c>
      <c r="I59">
        <f>I57+I58*I53*1000</f>
        <v/>
      </c>
      <c r="J59">
        <f>J57+J58*J53*1000</f>
        <v/>
      </c>
      <c r="K59">
        <f>K57+K58*K53*1000</f>
        <v/>
      </c>
    </row>
    <row r="60">
      <c r="A60" s="2" t="inlineStr">
        <is>
          <t>Gross Profit (USD)</t>
        </is>
      </c>
      <c r="B60">
        <f>B56-B59</f>
        <v/>
      </c>
      <c r="C60">
        <f>C56-C59</f>
        <v/>
      </c>
      <c r="D60">
        <f>D56-D59</f>
        <v/>
      </c>
      <c r="E60">
        <f>E56-E59</f>
        <v/>
      </c>
      <c r="F60">
        <f>F56-F59</f>
        <v/>
      </c>
      <c r="G60">
        <f>G56-G59</f>
        <v/>
      </c>
      <c r="H60">
        <f>H56-H59</f>
        <v/>
      </c>
      <c r="I60">
        <f>I56-I59</f>
        <v/>
      </c>
      <c r="J60">
        <f>J56-J59</f>
        <v/>
      </c>
      <c r="K60">
        <f>K56-K59</f>
        <v/>
      </c>
    </row>
    <row r="61">
      <c r="A61" s="2" t="inlineStr">
        <is>
          <t>GM %</t>
        </is>
      </c>
      <c r="B61" s="7">
        <f>IF(B56=0,0,B60/B56)</f>
        <v/>
      </c>
      <c r="C61" s="7">
        <f>IF(C56=0,0,C60/C56)</f>
        <v/>
      </c>
      <c r="D61" s="7">
        <f>IF(D56=0,0,D60/D56)</f>
        <v/>
      </c>
      <c r="E61" s="7">
        <f>IF(E56=0,0,E60/E56)</f>
        <v/>
      </c>
      <c r="F61" s="7">
        <f>IF(F56=0,0,F60/F56)</f>
        <v/>
      </c>
      <c r="G61" s="7">
        <f>IF(G56=0,0,G60/G56)</f>
        <v/>
      </c>
      <c r="H61" s="7">
        <f>IF(H56=0,0,H60/H56)</f>
        <v/>
      </c>
      <c r="I61" s="7">
        <f>IF(I56=0,0,I60/I56)</f>
        <v/>
      </c>
      <c r="J61" s="7">
        <f>IF(J56=0,0,J60/J56)</f>
        <v/>
      </c>
      <c r="K61" s="7">
        <f>IF(K56=0,0,K60/K56)</f>
        <v/>
      </c>
    </row>
    <row r="62">
      <c r="A62" t="inlineStr">
        <is>
          <t>SG&amp;A (USD)</t>
        </is>
      </c>
      <c r="B62" t="n">
        <v>572343</v>
      </c>
      <c r="C62" t="n">
        <v>572343</v>
      </c>
      <c r="D62" t="n">
        <v>1144686</v>
      </c>
      <c r="E62" t="n">
        <v>1144686</v>
      </c>
      <c r="F62" t="n">
        <v>1144686</v>
      </c>
      <c r="G62" t="n">
        <v>1352734</v>
      </c>
      <c r="H62" t="n">
        <v>1844853</v>
      </c>
      <c r="I62" t="n">
        <v>2452433</v>
      </c>
      <c r="J62" t="n">
        <v>3186976</v>
      </c>
      <c r="K62" t="n">
        <v>4067206</v>
      </c>
    </row>
    <row r="63">
      <c r="A63" t="inlineStr">
        <is>
          <t>R&amp;D (USD)</t>
        </is>
      </c>
      <c r="B63" t="n">
        <v>470000</v>
      </c>
      <c r="C63" t="n">
        <v>470000</v>
      </c>
      <c r="D63" t="n">
        <v>470000</v>
      </c>
      <c r="E63" t="n">
        <v>470000</v>
      </c>
      <c r="F63" t="n">
        <v>470000</v>
      </c>
      <c r="G63" t="n">
        <v>470000</v>
      </c>
      <c r="H63" t="n">
        <v>496202</v>
      </c>
      <c r="I63" t="n">
        <v>659620</v>
      </c>
      <c r="J63" t="n">
        <v>857187</v>
      </c>
      <c r="K63" t="n">
        <v>1093938</v>
      </c>
    </row>
    <row r="64">
      <c r="A64" s="2" t="inlineStr">
        <is>
          <t>EBIT (USD)</t>
        </is>
      </c>
      <c r="B64">
        <f>B60-B62-B63</f>
        <v/>
      </c>
      <c r="C64">
        <f>C60-C62-C63</f>
        <v/>
      </c>
      <c r="D64">
        <f>D60-D62-D63</f>
        <v/>
      </c>
      <c r="E64">
        <f>E60-E62-E63</f>
        <v/>
      </c>
      <c r="F64">
        <f>F60-F62-F63</f>
        <v/>
      </c>
      <c r="G64">
        <f>G60-G62-G63</f>
        <v/>
      </c>
      <c r="H64">
        <f>H60-H62-H63</f>
        <v/>
      </c>
      <c r="I64">
        <f>I60-I62-I63</f>
        <v/>
      </c>
      <c r="J64">
        <f>J60-J62-J63</f>
        <v/>
      </c>
      <c r="K64">
        <f>K60-K62-K63</f>
        <v/>
      </c>
    </row>
    <row r="65">
      <c r="A65" t="inlineStr">
        <is>
          <t>감가상각 (USD)</t>
        </is>
      </c>
      <c r="B65" t="n">
        <v>154215</v>
      </c>
      <c r="C65" t="n">
        <v>154215</v>
      </c>
      <c r="D65" t="n">
        <v>154215</v>
      </c>
      <c r="E65" t="n">
        <v>154215</v>
      </c>
      <c r="F65" t="n">
        <v>342700</v>
      </c>
      <c r="G65" t="n">
        <v>342700</v>
      </c>
      <c r="H65" t="n">
        <v>342700</v>
      </c>
      <c r="I65" t="n">
        <v>342700</v>
      </c>
      <c r="J65" t="n">
        <v>342700</v>
      </c>
      <c r="K65" t="n">
        <v>342700</v>
      </c>
    </row>
    <row r="66">
      <c r="A66" t="inlineStr">
        <is>
          <t>CAPEX (USD)</t>
        </is>
      </c>
      <c r="B66" t="n">
        <v>1542150</v>
      </c>
      <c r="C66" t="n">
        <v>0</v>
      </c>
      <c r="D66" t="n">
        <v>0</v>
      </c>
      <c r="E66" t="n">
        <v>7094350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운전자본 증감 (USD)</t>
        </is>
      </c>
      <c r="B67" t="n">
        <v>103421</v>
      </c>
      <c r="C67" t="n">
        <v>72014</v>
      </c>
      <c r="D67" t="n">
        <v>121700</v>
      </c>
      <c r="E67" t="n">
        <v>202444</v>
      </c>
      <c r="F67" t="n">
        <v>329177</v>
      </c>
      <c r="G67" t="n">
        <v>337393</v>
      </c>
      <c r="H67" t="n">
        <v>424240</v>
      </c>
      <c r="I67" t="n">
        <v>523776</v>
      </c>
      <c r="J67" t="n">
        <v>633227</v>
      </c>
      <c r="K67" t="n">
        <v>758819</v>
      </c>
    </row>
    <row r="68">
      <c r="A68" t="inlineStr">
        <is>
          <t>법인세 (USD)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174590</v>
      </c>
      <c r="J68" t="n">
        <v>1311600</v>
      </c>
      <c r="K68" t="n">
        <v>1821570</v>
      </c>
    </row>
    <row r="69">
      <c r="A69" s="2" t="inlineStr">
        <is>
          <t>FCF (USD)</t>
        </is>
      </c>
      <c r="B69">
        <f>B64-B68+B65-B66-B67</f>
        <v/>
      </c>
      <c r="C69">
        <f>C64-C68+C65-C66-C67</f>
        <v/>
      </c>
      <c r="D69">
        <f>D64-D68+D65-D66-D67</f>
        <v/>
      </c>
      <c r="E69">
        <f>E64-E68+E65-E66-E67</f>
        <v/>
      </c>
      <c r="F69">
        <f>F64-F68+F65-F66-F67</f>
        <v/>
      </c>
      <c r="G69">
        <f>G64-G68+G65-G66-G67</f>
        <v/>
      </c>
      <c r="H69">
        <f>H64-H68+H65-H66-H67</f>
        <v/>
      </c>
      <c r="I69">
        <f>I64-I68+I65-I66-I67</f>
        <v/>
      </c>
      <c r="J69">
        <f>J64-J68+J65-J66-J67</f>
        <v/>
      </c>
      <c r="K69">
        <f>K64-K68+K65-K66-K67</f>
        <v/>
      </c>
    </row>
    <row r="70">
      <c r="A70" s="2" t="inlineStr">
        <is>
          <t>누적 FCF (USD)</t>
        </is>
      </c>
      <c r="B70">
        <f>B69</f>
        <v/>
      </c>
      <c r="C70">
        <f>B70+C69</f>
        <v/>
      </c>
      <c r="D70">
        <f>C70+D69</f>
        <v/>
      </c>
      <c r="E70">
        <f>D70+E69</f>
        <v/>
      </c>
      <c r="F70">
        <f>E70+F69</f>
        <v/>
      </c>
      <c r="G70">
        <f>F70+G69</f>
        <v/>
      </c>
      <c r="H70">
        <f>G70+H69</f>
        <v/>
      </c>
      <c r="I70">
        <f>H70+I69</f>
        <v/>
      </c>
      <c r="J70">
        <f>I70+J69</f>
        <v/>
      </c>
      <c r="K70">
        <f>J70+K69</f>
        <v/>
      </c>
    </row>
    <row r="71">
      <c r="A71" s="8" t="inlineStr">
        <is>
          <t>NPV (USD, 잔존가치 제외)</t>
        </is>
      </c>
      <c r="B71">
        <f>NPV(Gates!$B$2,C69:K69)+B69</f>
        <v/>
      </c>
    </row>
    <row r="72">
      <c r="A72" s="2" t="inlineStr">
        <is>
          <t>IRR (잔존가치 제외)</t>
        </is>
      </c>
      <c r="B72">
        <f>IFERROR(IRR(B69:K69),"미산출(부호변화 없음)")</f>
        <v/>
      </c>
    </row>
    <row r="73">
      <c r="A73" t="inlineStr">
        <is>
          <t>누적 판매물량 (L)</t>
        </is>
      </c>
      <c r="B73">
        <f>SUM(B53:K53)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2" customWidth="1" min="4" max="4"/>
    <col width="15" customWidth="1" min="5" max="5"/>
    <col width="14" customWidth="1" min="6" max="6"/>
    <col width="13" customWidth="1" min="7" max="7"/>
    <col width="14" customWidth="1" min="8" max="8"/>
    <col width="15" customWidth="1" min="9" max="9"/>
    <col width="9" customWidth="1" min="10" max="10"/>
    <col width="13" customWidth="1" min="11" max="11"/>
    <col width="12" customWidth="1" min="12" max="12"/>
    <col width="14" customWidth="1" min="13" max="13"/>
    <col width="12" customWidth="1" min="14" max="14"/>
    <col width="13" customWidth="1" min="15" max="15"/>
    <col width="13" customWidth="1" min="16" max="16"/>
    <col width="14" customWidth="1" min="17" max="17"/>
    <col width="14" customWidth="1" min="18" max="18"/>
    <col width="15" customWidth="1" min="19" max="19"/>
    <col width="16" customWidth="1" min="20" max="20"/>
    <col width="11" customWidth="1" min="21" max="21"/>
    <col width="15" customWidth="1" min="22" max="22"/>
  </cols>
  <sheetData>
    <row r="1">
      <c r="A1" s="1" t="inlineStr">
        <is>
          <t>스코프 A · Base 시나리오 10년 상세 P&amp;L (2026~2035) — 파생 셀 전량 엑셀 수식</t>
        </is>
      </c>
    </row>
    <row r="3">
      <c r="A3" s="4" t="inlineStr">
        <is>
          <t>연도</t>
        </is>
      </c>
      <c r="B3" s="4" t="inlineStr">
        <is>
          <t>판매 L</t>
        </is>
      </c>
      <c r="C3" s="4" t="inlineStr">
        <is>
          <t>생산 L</t>
        </is>
      </c>
      <c r="D3" s="4" t="inlineStr">
        <is>
          <t>ASP USD/mL</t>
        </is>
      </c>
      <c r="E3" s="4" t="inlineStr">
        <is>
          <t>매출 USD</t>
        </is>
      </c>
      <c r="F3" s="4" t="inlineStr">
        <is>
          <t>고정비 USD</t>
        </is>
      </c>
      <c r="G3" s="4" t="inlineStr">
        <is>
          <t>변동비 USD/mL</t>
        </is>
      </c>
      <c r="H3" s="4" t="inlineStr">
        <is>
          <t>COGS USD</t>
        </is>
      </c>
      <c r="I3" s="4" t="inlineStr">
        <is>
          <t>Gross Profit</t>
        </is>
      </c>
      <c r="J3" s="4" t="inlineStr">
        <is>
          <t>GM %</t>
        </is>
      </c>
      <c r="K3" s="4" t="inlineStr">
        <is>
          <t>SG&amp;A</t>
        </is>
      </c>
      <c r="L3" s="4" t="inlineStr">
        <is>
          <t>R&amp;D</t>
        </is>
      </c>
      <c r="M3" s="4" t="inlineStr">
        <is>
          <t>EBIT</t>
        </is>
      </c>
      <c r="N3" s="4" t="inlineStr">
        <is>
          <t>법인세</t>
        </is>
      </c>
      <c r="O3" s="4" t="inlineStr">
        <is>
          <t>감가상각</t>
        </is>
      </c>
      <c r="P3" s="4" t="inlineStr">
        <is>
          <t>CAPEX</t>
        </is>
      </c>
      <c r="Q3" s="4" t="inlineStr">
        <is>
          <t>누적 투자</t>
        </is>
      </c>
      <c r="R3" s="4" t="inlineStr">
        <is>
          <t>운전자본 증감</t>
        </is>
      </c>
      <c r="S3" s="4" t="inlineStr">
        <is>
          <t>FCF</t>
        </is>
      </c>
      <c r="T3" s="4" t="inlineStr">
        <is>
          <t>누적 FCF</t>
        </is>
      </c>
      <c r="U3" s="4" t="inlineStr">
        <is>
          <t>할인계수</t>
        </is>
      </c>
      <c r="V3" s="4" t="inlineStr">
        <is>
          <t>PV(FCF)</t>
        </is>
      </c>
    </row>
    <row r="4">
      <c r="A4" t="n">
        <v>2026</v>
      </c>
      <c r="B4" t="n">
        <v>3.595</v>
      </c>
      <c r="C4">
        <f>B4/Inputs!$D$8</f>
        <v/>
      </c>
      <c r="D4" t="n">
        <v>24.93</v>
      </c>
      <c r="E4">
        <f>B4*1000*D4</f>
        <v/>
      </c>
      <c r="F4" t="n">
        <v>375000</v>
      </c>
      <c r="G4" t="n">
        <v>9.485099999999999</v>
      </c>
      <c r="H4">
        <f>F4+G4*B4*1000</f>
        <v/>
      </c>
      <c r="I4">
        <f>E4-H4</f>
        <v/>
      </c>
      <c r="J4" s="7">
        <f>IF(E4=0,0,I4/E4)</f>
        <v/>
      </c>
      <c r="K4">
        <f>MAX(Inputs!$D$31*E4,3*Inputs!$D$33)</f>
        <v/>
      </c>
      <c r="L4">
        <f>MAX(Inputs!$D$32*E4,Inputs!$D$34)</f>
        <v/>
      </c>
      <c r="M4">
        <f>I4-K4-L4</f>
        <v/>
      </c>
      <c r="N4" t="n">
        <v>0</v>
      </c>
      <c r="O4" t="n">
        <v>35000</v>
      </c>
      <c r="P4" t="n">
        <v>350000</v>
      </c>
      <c r="Q4">
        <f>SUM($P$4:P4)</f>
        <v/>
      </c>
      <c r="R4">
        <f>0.25*E4</f>
        <v/>
      </c>
      <c r="S4">
        <f>M4-N4+O4-P4-R4</f>
        <v/>
      </c>
      <c r="T4">
        <f>S4</f>
        <v/>
      </c>
      <c r="U4">
        <f>1/(1+Gates!$B$2)^(A4-$A$4)</f>
        <v/>
      </c>
      <c r="V4">
        <f>S4*U4</f>
        <v/>
      </c>
    </row>
    <row r="5">
      <c r="A5" t="n">
        <v>2027</v>
      </c>
      <c r="B5" t="n">
        <v>5.4363</v>
      </c>
      <c r="C5">
        <f>B5/Inputs!$D$8</f>
        <v/>
      </c>
      <c r="D5" t="n">
        <v>24.4314</v>
      </c>
      <c r="E5">
        <f>B5*1000*D5</f>
        <v/>
      </c>
      <c r="F5" t="n">
        <v>375000</v>
      </c>
      <c r="G5" t="n">
        <v>9.485099999999999</v>
      </c>
      <c r="H5">
        <f>F5+G5*B5*1000</f>
        <v/>
      </c>
      <c r="I5">
        <f>E5-H5</f>
        <v/>
      </c>
      <c r="J5" s="7">
        <f>IF(E5=0,0,I5/E5)</f>
        <v/>
      </c>
      <c r="K5">
        <f>MAX(Inputs!$D$31*E5,3*Inputs!$D$33)</f>
        <v/>
      </c>
      <c r="L5">
        <f>MAX(Inputs!$D$32*E5,Inputs!$D$34)</f>
        <v/>
      </c>
      <c r="M5">
        <f>I5-K5-L5</f>
        <v/>
      </c>
      <c r="N5" t="n">
        <v>0</v>
      </c>
      <c r="O5" t="n">
        <v>35000</v>
      </c>
      <c r="P5" t="n">
        <v>0</v>
      </c>
      <c r="Q5">
        <f>SUM($P$4:P5)</f>
        <v/>
      </c>
      <c r="R5">
        <f>0.25*E5-0.25*E4</f>
        <v/>
      </c>
      <c r="S5">
        <f>M5-N5+O5-P5-R5</f>
        <v/>
      </c>
      <c r="T5">
        <f>T4+S5</f>
        <v/>
      </c>
      <c r="U5">
        <f>1/(1+Gates!$B$2)^(A5-$A$4)</f>
        <v/>
      </c>
      <c r="V5">
        <f>S5*U5</f>
        <v/>
      </c>
    </row>
    <row r="6">
      <c r="A6" t="n">
        <v>2028</v>
      </c>
      <c r="B6" t="n">
        <v>8.306100000000001</v>
      </c>
      <c r="C6">
        <f>B6/Inputs!$D$8</f>
        <v/>
      </c>
      <c r="D6" t="n">
        <v>23.9428</v>
      </c>
      <c r="E6">
        <f>B6*1000*D6</f>
        <v/>
      </c>
      <c r="F6" t="n">
        <v>375000</v>
      </c>
      <c r="G6" t="n">
        <v>9.485099999999999</v>
      </c>
      <c r="H6">
        <f>F6+G6*B6*1000</f>
        <v/>
      </c>
      <c r="I6">
        <f>E6-H6</f>
        <v/>
      </c>
      <c r="J6" s="7">
        <f>IF(E6=0,0,I6/E6)</f>
        <v/>
      </c>
      <c r="K6">
        <f>MAX(Inputs!$D$31*E6,6*Inputs!$D$33)</f>
        <v/>
      </c>
      <c r="L6">
        <f>MAX(Inputs!$D$32*E6,Inputs!$D$34)</f>
        <v/>
      </c>
      <c r="M6">
        <f>I6-K6-L6</f>
        <v/>
      </c>
      <c r="N6" t="n">
        <v>0</v>
      </c>
      <c r="O6" t="n">
        <v>35000</v>
      </c>
      <c r="P6" t="n">
        <v>1192150</v>
      </c>
      <c r="Q6">
        <f>SUM($P$4:P6)</f>
        <v/>
      </c>
      <c r="R6">
        <f>0.25*E6-0.25*E5</f>
        <v/>
      </c>
      <c r="S6">
        <f>M6-N6+O6-P6-R6</f>
        <v/>
      </c>
      <c r="T6">
        <f>T5+S6</f>
        <v/>
      </c>
      <c r="U6">
        <f>1/(1+Gates!$B$2)^(A6-$A$4)</f>
        <v/>
      </c>
      <c r="V6">
        <f>S6*U6</f>
        <v/>
      </c>
    </row>
    <row r="7">
      <c r="A7" t="n">
        <v>2029</v>
      </c>
      <c r="B7" t="n">
        <v>12.7864</v>
      </c>
      <c r="C7">
        <f>B7/Inputs!$D$8</f>
        <v/>
      </c>
      <c r="D7" t="n">
        <v>23.4639</v>
      </c>
      <c r="E7">
        <f>B7*1000*D7</f>
        <v/>
      </c>
      <c r="F7" t="n">
        <v>934215</v>
      </c>
      <c r="G7" t="n">
        <v>2.1247</v>
      </c>
      <c r="H7">
        <f>F7+G7*B7*1000</f>
        <v/>
      </c>
      <c r="I7">
        <f>E7-H7</f>
        <v/>
      </c>
      <c r="J7" s="7">
        <f>IF(E7=0,0,I7/E7)</f>
        <v/>
      </c>
      <c r="K7">
        <f>MAX(Inputs!$D$31*E7,6*Inputs!$D$33)</f>
        <v/>
      </c>
      <c r="L7">
        <f>MAX(Inputs!$D$32*E7,Inputs!$D$34)</f>
        <v/>
      </c>
      <c r="M7">
        <f>I7-K7-L7</f>
        <v/>
      </c>
      <c r="N7" t="n">
        <v>0</v>
      </c>
      <c r="O7" t="n">
        <v>154215</v>
      </c>
      <c r="P7" t="n">
        <v>0</v>
      </c>
      <c r="Q7">
        <f>SUM($P$4:P7)</f>
        <v/>
      </c>
      <c r="R7">
        <f>0.25*E7-0.25*E6</f>
        <v/>
      </c>
      <c r="S7">
        <f>M7-N7+O7-P7-R7</f>
        <v/>
      </c>
      <c r="T7">
        <f>T6+S7</f>
        <v/>
      </c>
      <c r="U7">
        <f>1/(1+Gates!$B$2)^(A7-$A$4)</f>
        <v/>
      </c>
      <c r="V7">
        <f>S7*U7</f>
        <v/>
      </c>
    </row>
    <row r="8">
      <c r="A8" t="n">
        <v>2030</v>
      </c>
      <c r="B8" t="n">
        <v>19.7582</v>
      </c>
      <c r="C8">
        <f>B8/Inputs!$D$8</f>
        <v/>
      </c>
      <c r="D8" t="n">
        <v>22.9946</v>
      </c>
      <c r="E8">
        <f>B8*1000*D8</f>
        <v/>
      </c>
      <c r="F8" t="n">
        <v>934215</v>
      </c>
      <c r="G8" t="n">
        <v>2.1247</v>
      </c>
      <c r="H8">
        <f>F8+G8*B8*1000</f>
        <v/>
      </c>
      <c r="I8">
        <f>E8-H8</f>
        <v/>
      </c>
      <c r="J8" s="7">
        <f>IF(E8=0,0,I8/E8)</f>
        <v/>
      </c>
      <c r="K8">
        <f>MAX(Inputs!$D$31*E8,6*Inputs!$D$33)</f>
        <v/>
      </c>
      <c r="L8">
        <f>MAX(Inputs!$D$32*E8,Inputs!$D$34)</f>
        <v/>
      </c>
      <c r="M8">
        <f>I8-K8-L8</f>
        <v/>
      </c>
      <c r="N8" t="n">
        <v>0</v>
      </c>
      <c r="O8" t="n">
        <v>154215</v>
      </c>
      <c r="P8" t="n">
        <v>0</v>
      </c>
      <c r="Q8">
        <f>SUM($P$4:P8)</f>
        <v/>
      </c>
      <c r="R8">
        <f>0.25*E8-0.25*E7</f>
        <v/>
      </c>
      <c r="S8">
        <f>M8-N8+O8-P8-R8</f>
        <v/>
      </c>
      <c r="T8">
        <f>T7+S8</f>
        <v/>
      </c>
      <c r="U8">
        <f>1/(1+Gates!$B$2)^(A8-$A$4)</f>
        <v/>
      </c>
      <c r="V8">
        <f>S8*U8</f>
        <v/>
      </c>
    </row>
    <row r="9">
      <c r="A9" t="n">
        <v>2031</v>
      </c>
      <c r="B9" t="n">
        <v>27.2342</v>
      </c>
      <c r="C9">
        <f>B9/Inputs!$D$8</f>
        <v/>
      </c>
      <c r="D9" t="n">
        <v>22.5347</v>
      </c>
      <c r="E9">
        <f>B9*1000*D9</f>
        <v/>
      </c>
      <c r="F9" t="n">
        <v>934215</v>
      </c>
      <c r="G9" t="n">
        <v>2.1247</v>
      </c>
      <c r="H9">
        <f>F9+G9*B9*1000</f>
        <v/>
      </c>
      <c r="I9">
        <f>E9-H9</f>
        <v/>
      </c>
      <c r="J9" s="7">
        <f>IF(E9=0,0,I9/E9)</f>
        <v/>
      </c>
      <c r="K9">
        <f>MAX(Inputs!$D$31*E9,6*Inputs!$D$33)</f>
        <v/>
      </c>
      <c r="L9">
        <f>MAX(Inputs!$D$32*E9,Inputs!$D$34)</f>
        <v/>
      </c>
      <c r="M9">
        <f>I9-K9-L9</f>
        <v/>
      </c>
      <c r="N9" t="n">
        <v>0</v>
      </c>
      <c r="O9" t="n">
        <v>154215</v>
      </c>
      <c r="P9" t="n">
        <v>0</v>
      </c>
      <c r="Q9">
        <f>SUM($P$4:P9)</f>
        <v/>
      </c>
      <c r="R9">
        <f>0.25*E9-0.25*E8</f>
        <v/>
      </c>
      <c r="S9">
        <f>M9-N9+O9-P9-R9</f>
        <v/>
      </c>
      <c r="T9">
        <f>T8+S9</f>
        <v/>
      </c>
      <c r="U9">
        <f>1/(1+Gates!$B$2)^(A9-$A$4)</f>
        <v/>
      </c>
      <c r="V9">
        <f>S9*U9</f>
        <v/>
      </c>
    </row>
    <row r="10">
      <c r="A10" t="n">
        <v>2032</v>
      </c>
      <c r="B10" t="n">
        <v>37.103</v>
      </c>
      <c r="C10">
        <f>B10/Inputs!$D$8</f>
        <v/>
      </c>
      <c r="D10" t="n">
        <v>22.0841</v>
      </c>
      <c r="E10">
        <f>B10*1000*D10</f>
        <v/>
      </c>
      <c r="F10" t="n">
        <v>934215</v>
      </c>
      <c r="G10" t="n">
        <v>2.1247</v>
      </c>
      <c r="H10">
        <f>F10+G10*B10*1000</f>
        <v/>
      </c>
      <c r="I10">
        <f>E10-H10</f>
        <v/>
      </c>
      <c r="J10" s="7">
        <f>IF(E10=0,0,I10/E10)</f>
        <v/>
      </c>
      <c r="K10">
        <f>MAX(Inputs!$D$31*E10,6*Inputs!$D$33)</f>
        <v/>
      </c>
      <c r="L10">
        <f>MAX(Inputs!$D$32*E10,Inputs!$D$34)</f>
        <v/>
      </c>
      <c r="M10">
        <f>I10-K10-L10</f>
        <v/>
      </c>
      <c r="N10" t="n">
        <v>0</v>
      </c>
      <c r="O10" t="n">
        <v>154215</v>
      </c>
      <c r="P10" t="n">
        <v>0</v>
      </c>
      <c r="Q10">
        <f>SUM($P$4:P10)</f>
        <v/>
      </c>
      <c r="R10">
        <f>0.25*E10-0.25*E9</f>
        <v/>
      </c>
      <c r="S10">
        <f>M10-N10+O10-P10-R10</f>
        <v/>
      </c>
      <c r="T10">
        <f>T9+S10</f>
        <v/>
      </c>
      <c r="U10">
        <f>1/(1+Gates!$B$2)^(A10-$A$4)</f>
        <v/>
      </c>
      <c r="V10">
        <f>S10*U10</f>
        <v/>
      </c>
    </row>
    <row r="11">
      <c r="A11" t="n">
        <v>2033</v>
      </c>
      <c r="B11" t="n">
        <v>49.8508</v>
      </c>
      <c r="C11">
        <f>B11/Inputs!$D$8</f>
        <v/>
      </c>
      <c r="D11" t="n">
        <v>21.6424</v>
      </c>
      <c r="E11">
        <f>B11*1000*D11</f>
        <v/>
      </c>
      <c r="F11" t="n">
        <v>934215</v>
      </c>
      <c r="G11" t="n">
        <v>2.1247</v>
      </c>
      <c r="H11">
        <f>F11+G11*B11*1000</f>
        <v/>
      </c>
      <c r="I11">
        <f>E11-H11</f>
        <v/>
      </c>
      <c r="J11" s="7">
        <f>IF(E11=0,0,I11/E11)</f>
        <v/>
      </c>
      <c r="K11">
        <f>MAX(Inputs!$D$31*E11,6*Inputs!$D$33)</f>
        <v/>
      </c>
      <c r="L11">
        <f>MAX(Inputs!$D$32*E11,Inputs!$D$34)</f>
        <v/>
      </c>
      <c r="M11">
        <f>I11-K11-L11</f>
        <v/>
      </c>
      <c r="N11" t="n">
        <v>0</v>
      </c>
      <c r="O11" t="n">
        <v>154215</v>
      </c>
      <c r="P11" t="n">
        <v>0</v>
      </c>
      <c r="Q11">
        <f>SUM($P$4:P11)</f>
        <v/>
      </c>
      <c r="R11">
        <f>0.25*E11-0.25*E10</f>
        <v/>
      </c>
      <c r="S11">
        <f>M11-N11+O11-P11-R11</f>
        <v/>
      </c>
      <c r="T11">
        <f>T10+S11</f>
        <v/>
      </c>
      <c r="U11">
        <f>1/(1+Gates!$B$2)^(A11-$A$4)</f>
        <v/>
      </c>
      <c r="V11">
        <f>S11*U11</f>
        <v/>
      </c>
    </row>
    <row r="12">
      <c r="A12" t="n">
        <v>2034</v>
      </c>
      <c r="B12" t="n">
        <v>65.5973</v>
      </c>
      <c r="C12">
        <f>B12/Inputs!$D$8</f>
        <v/>
      </c>
      <c r="D12" t="n">
        <v>21.2095</v>
      </c>
      <c r="E12">
        <f>B12*1000*D12</f>
        <v/>
      </c>
      <c r="F12" t="n">
        <v>934215</v>
      </c>
      <c r="G12" t="n">
        <v>2.1247</v>
      </c>
      <c r="H12">
        <f>F12+G12*B12*1000</f>
        <v/>
      </c>
      <c r="I12">
        <f>E12-H12</f>
        <v/>
      </c>
      <c r="J12" s="7">
        <f>IF(E12=0,0,I12/E12)</f>
        <v/>
      </c>
      <c r="K12">
        <f>MAX(Inputs!$D$31*E12,6*Inputs!$D$33)</f>
        <v/>
      </c>
      <c r="L12">
        <f>MAX(Inputs!$D$32*E12,Inputs!$D$34)</f>
        <v/>
      </c>
      <c r="M12">
        <f>I12-K12-L12</f>
        <v/>
      </c>
      <c r="N12" t="n">
        <v>0</v>
      </c>
      <c r="O12" t="n">
        <v>154215</v>
      </c>
      <c r="P12" t="n">
        <v>1884850</v>
      </c>
      <c r="Q12">
        <f>SUM($P$4:P12)</f>
        <v/>
      </c>
      <c r="R12">
        <f>0.25*E12-0.25*E11</f>
        <v/>
      </c>
      <c r="S12">
        <f>M12-N12+O12-P12-R12</f>
        <v/>
      </c>
      <c r="T12">
        <f>T11+S12</f>
        <v/>
      </c>
      <c r="U12">
        <f>1/(1+Gates!$B$2)^(A12-$A$4)</f>
        <v/>
      </c>
      <c r="V12">
        <f>S12*U12</f>
        <v/>
      </c>
    </row>
    <row r="13">
      <c r="A13" t="n">
        <v>2035</v>
      </c>
      <c r="B13" t="n">
        <v>84.8596</v>
      </c>
      <c r="C13">
        <f>B13/Inputs!$D$8</f>
        <v/>
      </c>
      <c r="D13" t="n">
        <v>20.7853</v>
      </c>
      <c r="E13">
        <f>B13*1000*D13</f>
        <v/>
      </c>
      <c r="F13" t="n">
        <v>1932700</v>
      </c>
      <c r="G13" t="n">
        <v>0.7447</v>
      </c>
      <c r="H13">
        <f>F13+G13*B13*1000</f>
        <v/>
      </c>
      <c r="I13">
        <f>E13-H13</f>
        <v/>
      </c>
      <c r="J13" s="7">
        <f>IF(E13=0,0,I13/E13)</f>
        <v/>
      </c>
      <c r="K13">
        <f>MAX(Inputs!$D$31*E13,6*Inputs!$D$33)</f>
        <v/>
      </c>
      <c r="L13">
        <f>MAX(Inputs!$D$32*E13,Inputs!$D$34)</f>
        <v/>
      </c>
      <c r="M13">
        <f>I13-K13-L13</f>
        <v/>
      </c>
      <c r="N13" t="n">
        <v>0</v>
      </c>
      <c r="O13" t="n">
        <v>342700</v>
      </c>
      <c r="P13" t="n">
        <v>0</v>
      </c>
      <c r="Q13">
        <f>SUM($P$4:P13)</f>
        <v/>
      </c>
      <c r="R13">
        <f>0.25*E13-0.25*E12</f>
        <v/>
      </c>
      <c r="S13">
        <f>M13-N13+O13-P13-R13</f>
        <v/>
      </c>
      <c r="T13">
        <f>T12+S13</f>
        <v/>
      </c>
      <c r="U13">
        <f>1/(1+Gates!$B$2)^(A13-$A$4)</f>
        <v/>
      </c>
      <c r="V13">
        <f>S13*U13</f>
        <v/>
      </c>
    </row>
    <row r="15">
      <c r="A15" s="2" t="inlineStr">
        <is>
          <t>NPV (잔존가치 제외)</t>
        </is>
      </c>
      <c r="E15">
        <f>SUM(V4:V13)</f>
        <v/>
      </c>
    </row>
    <row r="16">
      <c r="A16" s="2" t="inlineStr">
        <is>
          <t>IRR</t>
        </is>
      </c>
      <c r="E16">
        <f>IFERROR(IRR(S4:S13),"미산출(전 기간 FCF 음수)")</f>
        <v/>
      </c>
    </row>
    <row r="17">
      <c r="A17" s="2" t="inlineStr">
        <is>
          <t>Payback (누적 FCF ≥ 0 최초 연도)</t>
        </is>
      </c>
      <c r="E17">
        <f>IFERROR(INDEX(A4:A13,MATCH(TRUE,INDEX(T4:T13&gt;=0,0),0)),"미도달")</f>
        <v/>
      </c>
    </row>
    <row r="18">
      <c r="A18" s="2" t="inlineStr">
        <is>
          <t>BEP 연도 (EBIT ≥ 0 최초)</t>
        </is>
      </c>
      <c r="E18">
        <f>IFERROR(INDEX(A4:A13,MATCH(TRUE,INDEX(M4:M13&gt;=0,0),0)),"미도달")</f>
        <v/>
      </c>
    </row>
    <row r="19">
      <c r="A19" s="2" t="inlineStr">
        <is>
          <t>BEP 누적물량 (판매 L)</t>
        </is>
      </c>
      <c r="E19">
        <f>IF(E18="미도달","미도달",SUM(B4:B13))</f>
        <v/>
      </c>
    </row>
    <row r="20">
      <c r="A20" s="2" t="inlineStr">
        <is>
          <t>10년 누적 FCF</t>
        </is>
      </c>
      <c r="E20">
        <f>T13</f>
        <v/>
      </c>
    </row>
    <row r="21">
      <c r="A21" s="2" t="inlineStr">
        <is>
          <t>GM 60% 최초 통과 연도</t>
        </is>
      </c>
      <c r="E21">
        <f>IFERROR(INDEX(A4:A13,MATCH(TRUE,INDEX(J4:J13&gt;=0.6,0),0)),"미도달")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6" customWidth="1" min="9" max="9"/>
  </cols>
  <sheetData>
    <row r="1">
      <c r="A1" s="1" t="inlineStr">
        <is>
          <t>토네이도 민감도 — 스코프 A Base, 각 변수 ±30% 시 NPV 변화 (USD)</t>
        </is>
      </c>
    </row>
    <row r="3">
      <c r="A3" s="4" t="inlineStr">
        <is>
          <t>순위</t>
        </is>
      </c>
      <c r="B3" s="4" t="inlineStr">
        <is>
          <t>변수</t>
        </is>
      </c>
      <c r="C3" s="4" t="inlineStr">
        <is>
          <t>−30% NPV</t>
        </is>
      </c>
      <c r="D3" s="4" t="inlineStr">
        <is>
          <t>기준 NPV</t>
        </is>
      </c>
      <c r="E3" s="4" t="inlineStr">
        <is>
          <t>+30% NPV</t>
        </is>
      </c>
      <c r="F3" s="4" t="inlineStr">
        <is>
          <t>−30% ΔNPV</t>
        </is>
      </c>
      <c r="G3" s="4" t="inlineStr">
        <is>
          <t>+30% ΔNPV</t>
        </is>
      </c>
      <c r="H3" s="4" t="inlineStr">
        <is>
          <t>영향폭(절대)</t>
        </is>
      </c>
      <c r="I3" s="4" t="inlineStr">
        <is>
          <t>근거</t>
        </is>
      </c>
    </row>
    <row r="4">
      <c r="A4" t="n">
        <v>1</v>
      </c>
      <c r="B4" t="inlineStr">
        <is>
          <t>SG&amp;A (FTE 단가·비율)</t>
        </is>
      </c>
      <c r="C4" t="n">
        <v>-11968166</v>
      </c>
      <c r="D4" t="n">
        <v>-14069419</v>
      </c>
      <c r="E4" t="n">
        <v>-16170672</v>
      </c>
      <c r="F4">
        <f>C4-D4</f>
        <v/>
      </c>
      <c r="G4">
        <f>E4-D4</f>
        <v/>
      </c>
      <c r="H4">
        <f>ABS(E4-C4)</f>
        <v/>
      </c>
      <c r="I4" t="inlineStr">
        <is>
          <t>[E-808][E-809]</t>
        </is>
      </c>
    </row>
    <row r="5">
      <c r="A5" t="n">
        <v>2</v>
      </c>
      <c r="B5" t="inlineStr">
        <is>
          <t>고정비 F (플랜트 규모)</t>
        </is>
      </c>
      <c r="C5" t="n">
        <v>-12407818</v>
      </c>
      <c r="D5" t="n">
        <v>-14069419</v>
      </c>
      <c r="E5" t="n">
        <v>-15731019</v>
      </c>
      <c r="F5">
        <f>C5-D5</f>
        <v/>
      </c>
      <c r="G5">
        <f>E5-D5</f>
        <v/>
      </c>
      <c r="H5">
        <f>ABS(E5-C5)</f>
        <v/>
      </c>
      <c r="I5" t="inlineStr">
        <is>
          <t>[E-428][E-434]</t>
        </is>
      </c>
    </row>
    <row r="6">
      <c r="A6" t="n">
        <v>3</v>
      </c>
      <c r="B6" t="inlineStr">
        <is>
          <t>WACC</t>
        </is>
      </c>
      <c r="C6" t="n">
        <v>-15500484</v>
      </c>
      <c r="D6" t="n">
        <v>-14069419</v>
      </c>
      <c r="E6" t="n">
        <v>-12854987</v>
      </c>
      <c r="F6">
        <f>C6-D6</f>
        <v/>
      </c>
      <c r="G6">
        <f>E6-D6</f>
        <v/>
      </c>
      <c r="H6">
        <f>ABS(E6-C6)</f>
        <v/>
      </c>
      <c r="I6" t="inlineStr">
        <is>
          <t>[E-800][E-801][E-804]</t>
        </is>
      </c>
    </row>
    <row r="7">
      <c r="A7" t="n">
        <v>4</v>
      </c>
      <c r="B7" t="inlineStr">
        <is>
          <t>ASP (판매단가)</t>
        </is>
      </c>
      <c r="C7" t="n">
        <v>-15187106</v>
      </c>
      <c r="D7" t="n">
        <v>-14069419</v>
      </c>
      <c r="E7" t="n">
        <v>-12951732</v>
      </c>
      <c r="F7">
        <f>C7-D7</f>
        <v/>
      </c>
      <c r="G7">
        <f>E7-D7</f>
        <v/>
      </c>
      <c r="H7">
        <f>ABS(E7-C7)</f>
        <v/>
      </c>
      <c r="I7" t="inlineStr">
        <is>
          <t>[E-802][E-803][E-807]</t>
        </is>
      </c>
    </row>
    <row r="8">
      <c r="A8" t="n">
        <v>5</v>
      </c>
      <c r="B8" t="inlineStr">
        <is>
          <t>R&amp;D 지출</t>
        </is>
      </c>
      <c r="C8" t="n">
        <v>-13071278</v>
      </c>
      <c r="D8" t="n">
        <v>-14069419</v>
      </c>
      <c r="E8" t="n">
        <v>-15067560</v>
      </c>
      <c r="F8">
        <f>C8-D8</f>
        <v/>
      </c>
      <c r="G8">
        <f>E8-D8</f>
        <v/>
      </c>
      <c r="H8">
        <f>ABS(E8-C8)</f>
        <v/>
      </c>
      <c r="I8" t="inlineStr">
        <is>
          <t>[E-808]</t>
        </is>
      </c>
    </row>
    <row r="9">
      <c r="A9" t="n">
        <v>6</v>
      </c>
      <c r="B9" t="inlineStr">
        <is>
          <t>CAPEX</t>
        </is>
      </c>
      <c r="C9" t="n">
        <v>-13370545</v>
      </c>
      <c r="D9" t="n">
        <v>-14069419</v>
      </c>
      <c r="E9" t="n">
        <v>-14768293</v>
      </c>
      <c r="F9">
        <f>C9-D9</f>
        <v/>
      </c>
      <c r="G9">
        <f>E9-D9</f>
        <v/>
      </c>
      <c r="H9">
        <f>ABS(E9-C9)</f>
        <v/>
      </c>
      <c r="I9" t="inlineStr">
        <is>
          <t>[E_cogs HANDOFF]</t>
        </is>
      </c>
    </row>
    <row r="10">
      <c r="A10" t="n">
        <v>7</v>
      </c>
      <c r="B10" t="inlineStr">
        <is>
          <t>변동비 v</t>
        </is>
      </c>
      <c r="C10" t="n">
        <v>-13935460</v>
      </c>
      <c r="D10" t="n">
        <v>-14069419</v>
      </c>
      <c r="E10" t="n">
        <v>-14203378</v>
      </c>
      <c r="F10">
        <f>C10-D10</f>
        <v/>
      </c>
      <c r="G10">
        <f>E10-D10</f>
        <v/>
      </c>
      <c r="H10">
        <f>ABS(E10-C10)</f>
        <v/>
      </c>
      <c r="I10" t="inlineStr">
        <is>
          <t>[E-402][E-403]</t>
        </is>
      </c>
    </row>
    <row r="11">
      <c r="A11" t="n">
        <v>8</v>
      </c>
      <c r="B11" t="inlineStr">
        <is>
          <t>LG 점유율</t>
        </is>
      </c>
      <c r="C11" t="n">
        <v>-13738502</v>
      </c>
      <c r="D11" t="n">
        <v>-14069419</v>
      </c>
      <c r="E11" t="n">
        <v>-13918714</v>
      </c>
      <c r="F11">
        <f>C11-D11</f>
        <v/>
      </c>
      <c r="G11">
        <f>E11-D11</f>
        <v/>
      </c>
      <c r="H11">
        <f>ABS(E11-C11)</f>
        <v/>
      </c>
      <c r="I11" t="inlineStr">
        <is>
          <t>[A-A21]</t>
        </is>
      </c>
    </row>
    <row r="13">
      <c r="B13" s="6" t="inlineStr">
        <is>
          <t>Kill Criteria 발동 시 NPV</t>
        </is>
      </c>
    </row>
    <row r="14">
      <c r="A14" s="4" t="inlineStr">
        <is>
          <t>#</t>
        </is>
      </c>
      <c r="B14" s="4" t="inlineStr">
        <is>
          <t>Kill Criterion</t>
        </is>
      </c>
      <c r="C14" s="4" t="inlineStr">
        <is>
          <t>판정연도</t>
        </is>
      </c>
      <c r="D14" s="4" t="inlineStr">
        <is>
          <t>계속 시 NPV</t>
        </is>
      </c>
      <c r="E14" s="4" t="inlineStr">
        <is>
          <t>중단 시 NPV</t>
        </is>
      </c>
      <c r="F14" s="4" t="inlineStr">
        <is>
          <t>중단 옵션가치</t>
        </is>
      </c>
      <c r="G14" s="4" t="inlineStr">
        <is>
          <t>기준 대비 Δ</t>
        </is>
      </c>
      <c r="H14" s="4" t="inlineStr"/>
      <c r="I14" s="4" t="inlineStr">
        <is>
          <t>대응 반증</t>
        </is>
      </c>
    </row>
    <row r="15">
      <c r="A15" t="n">
        <v>1</v>
      </c>
      <c r="B15" t="inlineStr">
        <is>
          <t>KC-1 mTG 삼중나선 가교 전환율 미달 (H7)</t>
        </is>
      </c>
      <c r="C15" t="n">
        <v>2026</v>
      </c>
      <c r="D15" t="n">
        <v>-13912782</v>
      </c>
      <c r="E15" t="n">
        <v>-1699224</v>
      </c>
      <c r="F15">
        <f>IF(ISNUMBER(D15),E15-D15,"—")</f>
        <v/>
      </c>
      <c r="G15">
        <f>IF(ISNUMBER(D15),D15--14069419.0,"—")</f>
        <v/>
      </c>
      <c r="I15" t="inlineStr">
        <is>
          <t>점유율 12%→5% [X-A08] / 6개월 시점 중단</t>
        </is>
      </c>
    </row>
    <row r="16">
      <c r="A16" t="n">
        <v>2</v>
      </c>
      <c r="B16" t="inlineStr">
        <is>
          <t>KC-2 라미닌 무첨가 형성효율 &lt;34% (H2)</t>
        </is>
      </c>
      <c r="C16" t="n">
        <v>2027</v>
      </c>
      <c r="D16" t="inlineStr">
        <is>
          <t>계속 불가</t>
        </is>
      </c>
      <c r="E16" t="n">
        <v>-2906557</v>
      </c>
      <c r="F16">
        <f>IF(ISNUMBER(D16),E16-D16,"—")</f>
        <v/>
      </c>
      <c r="G16">
        <f>IF(ISNUMBER(D16),D16--14069419.0,"—")</f>
        <v/>
      </c>
      <c r="I16" t="inlineStr">
        <is>
          <t>라미닌 필수 시 COGS +110.96 USD/mL → 공헌이익 음수, 계속 불가</t>
        </is>
      </c>
    </row>
    <row r="17">
      <c r="A17" t="n">
        <v>3</v>
      </c>
      <c r="B17" t="inlineStr">
        <is>
          <t>KC-3 Corning 354234 ≤ 27.00 USD/mL (H4)</t>
        </is>
      </c>
      <c r="C17" t="n">
        <v>2027</v>
      </c>
      <c r="D17" t="n">
        <v>-14474261</v>
      </c>
      <c r="E17" t="n">
        <v>-2906557</v>
      </c>
      <c r="F17">
        <f>IF(ISNUMBER(D17),E17-D17,"—")</f>
        <v/>
      </c>
      <c r="G17">
        <f>IF(ISNUMBER(D17),D17--14069419.0,"—")</f>
        <v/>
      </c>
      <c r="I17" t="inlineStr">
        <is>
          <t>ASP 24.93 → 22.22 USD/mL</t>
        </is>
      </c>
    </row>
    <row r="18">
      <c r="A18" t="n">
        <v>4</v>
      </c>
      <c r="B18" t="inlineStr">
        <is>
          <t>KC-4 옵션(b) 2028 연환산 판매 &lt; 289.9 L (H11)</t>
        </is>
      </c>
      <c r="C18" t="n">
        <v>2028</v>
      </c>
      <c r="D18" t="n">
        <v>-12718425</v>
      </c>
      <c r="E18" t="n">
        <v>-11828763</v>
      </c>
      <c r="F18">
        <f>IF(ISNUMBER(D18),E18-D18,"—")</f>
        <v/>
      </c>
      <c r="G18">
        <f>IF(ISNUMBER(D18),D18--14069419.0,"—")</f>
        <v/>
      </c>
      <c r="I18" t="inlineStr">
        <is>
          <t>스코프 B 계속(잔존가치 제외) vs 2028년 말 중단</t>
        </is>
      </c>
    </row>
    <row r="19">
      <c r="A19" t="n">
        <v>5</v>
      </c>
      <c r="B19" t="inlineStr">
        <is>
          <t>KC-5 전환서비스 랩당 &gt;12,000 USD (H12)</t>
        </is>
      </c>
      <c r="C19" t="n">
        <v>2027</v>
      </c>
      <c r="D19" t="n">
        <v>-13400895</v>
      </c>
      <c r="E19" t="n">
        <v>-2906557</v>
      </c>
      <c r="F19">
        <f>IF(ISNUMBER(D19),E19-D19,"—")</f>
        <v/>
      </c>
      <c r="G19">
        <f>IF(ISNUMBER(D19),D19--14069419.0,"—")</f>
        <v/>
      </c>
      <c r="I19" t="inlineStr">
        <is>
          <t>학술 RUO 세그먼트 제외 vs 중단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4" customWidth="1" min="6" max="6"/>
    <col width="10" customWidth="1" min="7" max="7"/>
    <col width="60" customWidth="1" min="8" max="8"/>
  </cols>
  <sheetData>
    <row r="1">
      <c r="A1" s="1" t="inlineStr">
        <is>
          <t>DECISION_GATE 대조표</t>
        </is>
      </c>
    </row>
    <row r="2">
      <c r="A2" t="inlineStr">
        <is>
          <t>WACC</t>
        </is>
      </c>
      <c r="B2" s="9" t="n">
        <v>0.0866</v>
      </c>
      <c r="C2" t="inlineStr">
        <is>
          <t>← 이 셀을 바꾸면 Scenarios·PnL_Base 의 NPV 가 다시 계산된다</t>
        </is>
      </c>
    </row>
    <row r="4">
      <c r="A4" s="4" t="inlineStr">
        <is>
          <t>게이트</t>
        </is>
      </c>
      <c r="B4" s="4" t="inlineStr">
        <is>
          <t>임계값</t>
        </is>
      </c>
      <c r="C4" s="4" t="inlineStr">
        <is>
          <t>Bear</t>
        </is>
      </c>
      <c r="D4" s="4" t="inlineStr">
        <is>
          <t>Base</t>
        </is>
      </c>
      <c r="E4" s="4" t="inlineStr">
        <is>
          <t>Bull</t>
        </is>
      </c>
      <c r="F4" s="4" t="inlineStr">
        <is>
          <t>달성률(Base)</t>
        </is>
      </c>
      <c r="G4" s="4" t="inlineStr">
        <is>
          <t>판정</t>
        </is>
      </c>
      <c r="H4" s="4" t="inlineStr">
        <is>
          <t>근거·비고</t>
        </is>
      </c>
    </row>
    <row r="5">
      <c r="A5" t="inlineStr">
        <is>
          <t>SAM_2030 (USD)</t>
        </is>
      </c>
      <c r="B5" t="n">
        <v>150000000</v>
      </c>
      <c r="C5" t="n">
        <v>1626574.8154</v>
      </c>
      <c r="D5" t="n">
        <v>5617438.9284</v>
      </c>
      <c r="E5" t="n">
        <v>17337348.3513</v>
      </c>
      <c r="F5" s="7">
        <f>D5/B5</f>
        <v/>
      </c>
      <c r="G5">
        <f>IF(MAX(C5:E5)&gt;=B5,"PASS","FAIL")</f>
        <v/>
      </c>
      <c r="H5" t="inlineStr">
        <is>
          <t>A 의 TAM_addressable × 로지스틱 침투율. Agent A 의 기하 누적모델(10.08 M)보다 보수적</t>
        </is>
      </c>
    </row>
    <row r="6">
      <c r="A6" t="inlineStr">
        <is>
          <t>SOM_2030 (USD)</t>
        </is>
      </c>
      <c r="B6" t="n">
        <v>15000000</v>
      </c>
      <c r="C6" t="n">
        <v>43182.0434</v>
      </c>
      <c r="D6" t="n">
        <v>454332.0024</v>
      </c>
      <c r="E6" t="n">
        <v>3315028.3577</v>
      </c>
      <c r="F6" s="7">
        <f>D6/B6</f>
        <v/>
      </c>
      <c r="G6">
        <f>IF(MAX(C6:E6)&gt;=B6,"PASS","FAIL")</f>
        <v/>
      </c>
      <c r="H6" t="inlineStr">
        <is>
          <t>LG 자신의 가격표 기준 (V-09). 시장 ASP 기준이 아님</t>
        </is>
      </c>
    </row>
    <row r="7">
      <c r="A7" t="inlineStr">
        <is>
          <t>Gross_Margin_2030</t>
        </is>
      </c>
      <c r="B7" t="n">
        <v>0.6</v>
      </c>
      <c r="C7" t="n">
        <v>-8.2601</v>
      </c>
      <c r="D7" t="n">
        <v>-1.1486</v>
      </c>
      <c r="E7" t="n">
        <v>0.3942</v>
      </c>
      <c r="F7" s="7">
        <f>D7/B7</f>
        <v/>
      </c>
      <c r="G7">
        <f>IF(MAX(C7:E7)&gt;=B7,"PASS","FAIL")</f>
        <v/>
      </c>
      <c r="H7" t="inlineStr">
        <is>
          <t>GM60 임계 판매물량 = 209.5 L @ASP 24.93. base 2030 판매 19.8 L = 임계의 9.4%</t>
        </is>
      </c>
    </row>
    <row r="8">
      <c r="A8" t="inlineStr">
        <is>
          <t>Payback (년)</t>
        </is>
      </c>
      <c r="B8" t="n">
        <v>5</v>
      </c>
      <c r="C8" t="inlineStr">
        <is>
          <t>미도달</t>
        </is>
      </c>
      <c r="D8" t="inlineStr">
        <is>
          <t>미도달</t>
        </is>
      </c>
      <c r="E8" t="inlineStr">
        <is>
          <t>미도달</t>
        </is>
      </c>
      <c r="G8">
        <f>IF(COUNT(C8:E8)=0,"FAIL",IF(MIN(C8:E8)&lt;=B8,"PASS","FAIL"))</f>
        <v/>
      </c>
      <c r="H8" t="inlineStr">
        <is>
          <t>Agent E 의 payback 2030 은 판매 418 L 램프 전제 — V-01 로 무효. 수요 S-curve 대입 시 전 시나리오 미도달</t>
        </is>
      </c>
    </row>
    <row r="9">
      <c r="A9" t="inlineStr">
        <is>
          <t>FTO 리스크</t>
        </is>
      </c>
      <c r="B9" t="inlineStr">
        <is>
          <t>중 이하</t>
        </is>
      </c>
      <c r="C9" t="inlineStr">
        <is>
          <t>중</t>
        </is>
      </c>
      <c r="D9" t="inlineStr">
        <is>
          <t>중</t>
        </is>
      </c>
      <c r="E9" t="inlineStr">
        <is>
          <t>중</t>
        </is>
      </c>
      <c r="G9" t="inlineStr">
        <is>
          <t>PASS</t>
        </is>
      </c>
      <c r="H9" t="inlineStr">
        <is>
          <t>Agent F fto_verdict=중. 단 V-06: 회피규격 G'&gt;1.5 kPa 를 E 의 OM-S·G 의 강스템 SKU 가 위반 — 한국 EPFL KR20180038573 등록(→2036)</t>
        </is>
      </c>
    </row>
    <row r="11">
      <c r="A11" s="6" t="inlineStr">
        <is>
          <t>종합 판정 — 현 제품정의</t>
        </is>
      </c>
      <c r="B11" s="10" t="inlineStr">
        <is>
          <t>No-Go</t>
        </is>
      </c>
      <c r="C11" t="inlineStr">
        <is>
          <t>5개 게이트 중 4개 FAIL (SAM·SOM·GM·Payback). 확률가중 E[NPV] = -12,782,884 USD (잔존가치 제외)</t>
        </is>
      </c>
    </row>
    <row r="12">
      <c r="A12" s="6" t="inlineStr">
        <is>
          <t>종합 판정 — 대안 스코프</t>
        </is>
      </c>
      <c r="B12" s="11" t="inlineStr">
        <is>
          <t>Conditional-Go</t>
        </is>
      </c>
      <c r="C12" t="inlineStr">
        <is>
          <t>옵션(d) 라이선싱 + 옵션(e) GMP 원부자재에 한함. 옵션(b)·(c)는 No-Go</t>
        </is>
      </c>
    </row>
    <row r="14">
      <c r="A14" s="2" t="inlineStr">
        <is>
          <t>DISC-01 재계산 확정</t>
        </is>
      </c>
      <c r="B14" t="inlineStr">
        <is>
          <t>옵션(b) GM60 임계 = 판매 289.9 L = 생산 346.7 L (V 289.4 판매 L 와 X 347.3 생산 L 은 동일 값의 단위 차이)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0" customWidth="1" min="3" max="3"/>
    <col width="20" customWidth="1" min="4" max="4"/>
    <col width="12" customWidth="1" min="5" max="5"/>
    <col width="8" customWidth="1" min="6" max="6"/>
    <col width="10" customWidth="1" min="7" max="7"/>
    <col width="46" customWidth="1" min="8" max="8"/>
  </cols>
  <sheetData>
    <row r="1">
      <c r="A1" s="4" t="inlineStr">
        <is>
          <t>ID</t>
        </is>
      </c>
      <c r="B1" s="4" t="inlineStr">
        <is>
          <t>구분</t>
        </is>
      </c>
      <c r="C1" s="4" t="inlineStr">
        <is>
          <t>주장 요지</t>
        </is>
      </c>
      <c r="D1" s="4" t="inlineStr">
        <is>
          <t>값</t>
        </is>
      </c>
      <c r="E1" s="4" t="inlineStr">
        <is>
          <t>단위</t>
        </is>
      </c>
      <c r="F1" s="4" t="inlineStr">
        <is>
          <t>tier</t>
        </is>
      </c>
      <c r="G1" s="4" t="inlineStr">
        <is>
          <t>신뢰도</t>
        </is>
      </c>
      <c r="H1" s="4" t="inlineStr">
        <is>
          <t>출처</t>
        </is>
      </c>
    </row>
    <row r="2">
      <c r="A2" t="inlineStr">
        <is>
          <t>E-800</t>
        </is>
      </c>
      <c r="B2" t="inlineStr">
        <is>
          <t>시장보고서</t>
        </is>
      </c>
      <c r="C2" t="inlineStr">
        <is>
          <t>한국 국고채 10년 수익률 (무위험이자율)</t>
        </is>
      </c>
      <c r="D2" t="inlineStr">
        <is>
          <t>4.30</t>
        </is>
      </c>
      <c r="E2" t="inlineStr">
        <is>
          <t>%</t>
        </is>
      </c>
      <c r="F2" t="inlineStr">
        <is>
          <t>T2</t>
        </is>
      </c>
      <c r="G2" t="inlineStr">
        <is>
          <t>상</t>
        </is>
      </c>
      <c r="H2" t="inlineStr">
        <is>
          <t>Trading Economics</t>
        </is>
      </c>
    </row>
    <row r="3">
      <c r="A3" t="inlineStr">
        <is>
          <t>E-801</t>
        </is>
      </c>
      <c r="B3" t="inlineStr">
        <is>
          <t>학술논문</t>
        </is>
      </c>
      <c r="C3" t="inlineStr">
        <is>
          <t>한국 총 주식위험프리미엄(ERP) — CAPM 입력</t>
        </is>
      </c>
      <c r="D3" t="inlineStr">
        <is>
          <t>4.87</t>
        </is>
      </c>
      <c r="E3" t="inlineStr">
        <is>
          <t>%</t>
        </is>
      </c>
      <c r="F3" t="inlineStr">
        <is>
          <t>T1</t>
        </is>
      </c>
      <c r="G3" t="inlineStr">
        <is>
          <t>상</t>
        </is>
      </c>
      <c r="H3" t="inlineStr">
        <is>
          <t>Aswath Damodaran / NYU Stern</t>
        </is>
      </c>
    </row>
    <row r="4">
      <c r="A4" t="inlineStr">
        <is>
          <t>E-802</t>
        </is>
      </c>
      <c r="B4" t="inlineStr">
        <is>
          <t>기업카탈로그</t>
        </is>
      </c>
      <c r="C4" t="inlineStr">
        <is>
          <t>Corning Matrigel 표준 SKU 354234 제조사 직판 정가 (10 mL)</t>
        </is>
      </c>
      <c r="D4" t="inlineStr">
        <is>
          <t>302.85</t>
        </is>
      </c>
      <c r="E4" t="inlineStr">
        <is>
          <t>USD/10 mL</t>
        </is>
      </c>
      <c r="F4" t="inlineStr">
        <is>
          <t>T1</t>
        </is>
      </c>
      <c r="G4" t="inlineStr">
        <is>
          <t>상</t>
        </is>
      </c>
      <c r="H4" t="inlineStr">
        <is>
          <t>Corning Life Sciences (e-catalog)</t>
        </is>
      </c>
    </row>
    <row r="5">
      <c r="A5" t="inlineStr">
        <is>
          <t>E-803</t>
        </is>
      </c>
      <c r="B5" t="inlineStr">
        <is>
          <t>기업카탈로그</t>
        </is>
      </c>
      <c r="C5" t="inlineStr">
        <is>
          <t>Corning Matrigel 오가노이드 전용 SKU 356255 제조사 직판 정가 (10 mL)</t>
        </is>
      </c>
      <c r="D5" t="inlineStr">
        <is>
          <t>447.60</t>
        </is>
      </c>
      <c r="E5" t="inlineStr">
        <is>
          <t>USD/10 mL</t>
        </is>
      </c>
      <c r="F5" t="inlineStr">
        <is>
          <t>T1</t>
        </is>
      </c>
      <c r="G5" t="inlineStr">
        <is>
          <t>상</t>
        </is>
      </c>
      <c r="H5" t="inlineStr">
        <is>
          <t>Corning Life Sciences (e-catalog)</t>
        </is>
      </c>
    </row>
    <row r="6">
      <c r="A6" t="inlineStr">
        <is>
          <t>E-804</t>
        </is>
      </c>
      <c r="B6" t="inlineStr">
        <is>
          <t>학술논문</t>
        </is>
      </c>
      <c r="C6" t="inlineStr">
        <is>
          <t>산업 베타 (Drugs Biotechnology / Healthcare Products / Chemical Specialty)</t>
        </is>
      </c>
      <c r="D6" t="inlineStr">
        <is>
          <t>levered 1.14 / 0.91 / 0.97, unlevered 1.03 / 0.83 / 0.79, D/E 13.04% / 12.79% / 29.88%</t>
        </is>
      </c>
      <c r="E6" t="inlineStr">
        <is>
          <t>배·%</t>
        </is>
      </c>
      <c r="F6" t="inlineStr">
        <is>
          <t>T1</t>
        </is>
      </c>
      <c r="G6" t="inlineStr">
        <is>
          <t>상</t>
        </is>
      </c>
      <c r="H6" t="inlineStr">
        <is>
          <t>Aswath Damodaran / NYU Stern</t>
        </is>
      </c>
    </row>
    <row r="7">
      <c r="A7" t="inlineStr">
        <is>
          <t>E-805</t>
        </is>
      </c>
      <c r="B7" t="inlineStr">
        <is>
          <t>규제문서</t>
        </is>
      </c>
      <c r="C7" t="inlineStr">
        <is>
          <t>한국 법인세율 (최고구간 + 지방소득세)</t>
        </is>
      </c>
      <c r="D7" t="inlineStr">
        <is>
          <t>27.5</t>
        </is>
      </c>
      <c r="E7" t="inlineStr">
        <is>
          <t>%</t>
        </is>
      </c>
      <c r="F7" t="inlineStr">
        <is>
          <t>T1</t>
        </is>
      </c>
      <c r="G7" t="inlineStr">
        <is>
          <t>상</t>
        </is>
      </c>
      <c r="H7" t="inlineStr">
        <is>
          <t>Chambers and Partners</t>
        </is>
      </c>
    </row>
    <row r="8">
      <c r="A8" t="inlineStr">
        <is>
          <t>E-806</t>
        </is>
      </c>
      <c r="B8" t="inlineStr">
        <is>
          <t>공시</t>
        </is>
      </c>
      <c r="C8" t="inlineStr">
        <is>
          <t>LG화학 신용등급 (타인자본비용 스프레드 근거)</t>
        </is>
      </c>
      <c r="D8" t="inlineStr">
        <is>
          <t>Moody's A3 (안정적) / S&amp;P BBB+</t>
        </is>
      </c>
      <c r="E8" t="inlineStr">
        <is>
          <t>등급</t>
        </is>
      </c>
      <c r="F8" t="inlineStr">
        <is>
          <t>T2</t>
        </is>
      </c>
      <c r="G8" t="inlineStr">
        <is>
          <t>중</t>
        </is>
      </c>
      <c r="H8" t="inlineStr">
        <is>
          <t>Cbonds</t>
        </is>
      </c>
    </row>
    <row r="9">
      <c r="A9" t="inlineStr">
        <is>
          <t>E-807</t>
        </is>
      </c>
      <c r="B9" t="inlineStr">
        <is>
          <t>학술논문</t>
        </is>
      </c>
      <c r="C9" t="inlineStr">
        <is>
          <t>산업별 자본비용(WACC) 벤치마크 — 미국, 2026-01</t>
        </is>
      </c>
      <c r="D9" t="inlineStr">
        <is>
          <t>Drugs(Biotechnology) 8.49 / Drugs(Pharmaceutical) 7.85 / Healthcare Products 7.54 / Chemical(Specialty) 7.25</t>
        </is>
      </c>
      <c r="E9" t="inlineStr">
        <is>
          <t>%</t>
        </is>
      </c>
      <c r="F9" t="inlineStr">
        <is>
          <t>T1</t>
        </is>
      </c>
      <c r="G9" t="inlineStr">
        <is>
          <t>상</t>
        </is>
      </c>
      <c r="H9" t="inlineStr">
        <is>
          <t>Aswath Damodaran / NYU Stern</t>
        </is>
      </c>
    </row>
    <row r="10">
      <c r="A10" t="inlineStr">
        <is>
          <t>E-808</t>
        </is>
      </c>
      <c r="B10" t="inlineStr">
        <is>
          <t>공시</t>
        </is>
      </c>
      <c r="C10" t="inlineStr">
        <is>
          <t>라이프사이언스 툴 기업의 정상 SG&amp;A·R&amp;D 비율 (Bio-Techne FY2025)</t>
        </is>
      </c>
      <c r="D10" t="inlineStr">
        <is>
          <t>조정 SG&amp;A 29.0 / R&amp;D 7.8</t>
        </is>
      </c>
      <c r="E10" t="inlineStr">
        <is>
          <t>% of revenue</t>
        </is>
      </c>
      <c r="F10" t="inlineStr">
        <is>
          <t>T2</t>
        </is>
      </c>
      <c r="G10" t="inlineStr">
        <is>
          <t>중</t>
        </is>
      </c>
      <c r="H10" t="inlineStr">
        <is>
          <t>Bio-Techne Corporation / Yahoo Finance</t>
        </is>
      </c>
    </row>
    <row r="11">
      <c r="A11" t="inlineStr">
        <is>
          <t>E-809</t>
        </is>
      </c>
      <c r="B11" t="inlineStr">
        <is>
          <t>업계인터뷰</t>
        </is>
      </c>
      <c r="C11" t="inlineStr">
        <is>
          <t>Field Application Scientist 총보상 (제약·바이오)</t>
        </is>
      </c>
      <c r="D11" t="inlineStr">
        <is>
          <t>161,181</t>
        </is>
      </c>
      <c r="E11" t="inlineStr">
        <is>
          <t>USD/년 (median total pay)</t>
        </is>
      </c>
      <c r="F11" t="inlineStr">
        <is>
          <t>T2</t>
        </is>
      </c>
      <c r="G11" t="inlineStr">
        <is>
          <t>중</t>
        </is>
      </c>
      <c r="H11" t="inlineStr">
        <is>
          <t>Glassdoor</t>
        </is>
      </c>
    </row>
    <row r="12">
      <c r="A12" t="inlineStr">
        <is>
          <t>E-810</t>
        </is>
      </c>
      <c r="B12" t="inlineStr">
        <is>
          <t>시장보고서</t>
        </is>
      </c>
      <c r="C12" t="inlineStr">
        <is>
          <t>바이오잉크 시장 규모와 콜라겐 세그먼트 (대안 스코프 옵션 b 입력)</t>
        </is>
      </c>
      <c r="D12" t="inlineStr">
        <is>
          <t>전체 2025 88.1 M → 2026 99.1 M → 2035 303.2 M, 콜라겐 세그먼트 2025 32.5 M, CAGR 13.2</t>
        </is>
      </c>
      <c r="E12" t="inlineStr">
        <is>
          <t>M USD / %</t>
        </is>
      </c>
      <c r="F12" t="inlineStr">
        <is>
          <t>T3</t>
        </is>
      </c>
      <c r="G12" t="inlineStr">
        <is>
          <t>하</t>
        </is>
      </c>
      <c r="H12" t="inlineStr">
        <is>
          <t>Global Market Insights (GMI)</t>
        </is>
      </c>
    </row>
    <row r="13">
      <c r="A13" t="inlineStr">
        <is>
          <t>E-811</t>
        </is>
      </c>
      <c r="B13" t="inlineStr">
        <is>
          <t>기업카탈로그</t>
        </is>
      </c>
      <c r="C13" t="inlineStr">
        <is>
          <t>Corning Synthegel 3D hiPSC Suspension Matrix Kit 354791 정가 (16 mL)</t>
        </is>
      </c>
      <c r="D13" t="inlineStr">
        <is>
          <t>545.90</t>
        </is>
      </c>
      <c r="E13" t="inlineStr">
        <is>
          <t>USD/16 mL</t>
        </is>
      </c>
      <c r="F13" t="inlineStr">
        <is>
          <t>T1</t>
        </is>
      </c>
      <c r="G13" t="inlineStr">
        <is>
          <t>상</t>
        </is>
      </c>
      <c r="H13" t="inlineStr">
        <is>
          <t>Corning Life Sciences (e-catalog)</t>
        </is>
      </c>
    </row>
    <row r="14">
      <c r="A14" t="inlineStr">
        <is>
          <t>E-812</t>
        </is>
      </c>
      <c r="B14" t="inlineStr">
        <is>
          <t>기업카탈로그</t>
        </is>
      </c>
      <c r="C14" t="inlineStr">
        <is>
          <t>Fisher Scientific 유통가 — Corning 354234 (10 mL)</t>
        </is>
      </c>
      <c r="D14" t="inlineStr">
        <is>
          <t>438.50</t>
        </is>
      </c>
      <c r="E14" t="inlineStr">
        <is>
          <t>USD/10 mL</t>
        </is>
      </c>
      <c r="F14" t="inlineStr">
        <is>
          <t>T2</t>
        </is>
      </c>
      <c r="G14" t="inlineStr">
        <is>
          <t>상</t>
        </is>
      </c>
      <c r="H14" t="inlineStr">
        <is>
          <t>Fisher Scientific</t>
        </is>
      </c>
    </row>
    <row r="15">
      <c r="A15" t="inlineStr">
        <is>
          <t>E-813</t>
        </is>
      </c>
      <c r="B15" t="inlineStr">
        <is>
          <t>기업카탈로그</t>
        </is>
      </c>
      <c r="C15" t="inlineStr">
        <is>
          <t>Fisher Scientific 유통가 — Corning 356255 오가노이드 SKU (10 mL) 및 실측 유통마진</t>
        </is>
      </c>
      <c r="D15" t="inlineStr">
        <is>
          <t>756.50 → 유통마진 69.0</t>
        </is>
      </c>
      <c r="E15" t="inlineStr">
        <is>
          <t>USD/10 mL / %</t>
        </is>
      </c>
      <c r="F15" t="inlineStr">
        <is>
          <t>T2</t>
        </is>
      </c>
      <c r="G15" t="inlineStr">
        <is>
          <t>상</t>
        </is>
      </c>
      <c r="H15" t="inlineStr">
        <is>
          <t>Fisher Scientific</t>
        </is>
      </c>
    </row>
    <row r="16">
      <c r="A16" t="inlineStr">
        <is>
          <t>E-814</t>
        </is>
      </c>
      <c r="B16" t="inlineStr">
        <is>
          <t>학술논문</t>
        </is>
      </c>
      <c r="C16" t="inlineStr">
        <is>
          <t>mTG 는 변성 조건에서만 I형 콜라겐을 가교한다 — 천연 삼중나선의 Gln 은 접근 불가 (Agent X H7 독립 확인)</t>
        </is>
      </c>
      <c r="D16" t="inlineStr">
        <is>
          <t>열변성 콜라겐 최대 5.4 crosslink/monomer, 비변성 조건에서는 도입되지 않음</t>
        </is>
      </c>
      <c r="E16" t="inlineStr">
        <is>
          <t>crosslink/monomer</t>
        </is>
      </c>
      <c r="F16" t="inlineStr">
        <is>
          <t>T1</t>
        </is>
      </c>
      <c r="G16" t="inlineStr">
        <is>
          <t>상</t>
        </is>
      </c>
      <c r="H16" t="inlineStr">
        <is>
          <t>Biomacromolecules 11(3):698-705 (ACS), Stachel I, Schwarzenbolz U, Henle T, Meyer M</t>
        </is>
      </c>
    </row>
    <row r="17">
      <c r="A17" t="inlineStr">
        <is>
          <t>E-815</t>
        </is>
      </c>
      <c r="B17" t="inlineStr">
        <is>
          <t>공시</t>
        </is>
      </c>
      <c r="C17" t="inlineStr">
        <is>
          <t>LG화학 생명과학본부 2025년 매출 (사업 규모 대조 기준)</t>
        </is>
      </c>
      <c r="D17" t="inlineStr">
        <is>
          <t>1조 3,532억 KRW = 959.7 M USD</t>
        </is>
      </c>
      <c r="E17" t="inlineStr">
        <is>
          <t>KRW / USD</t>
        </is>
      </c>
      <c r="F17" t="inlineStr">
        <is>
          <t>T2</t>
        </is>
      </c>
      <c r="G17" t="inlineStr">
        <is>
          <t>상</t>
        </is>
      </c>
      <c r="H17" t="inlineStr">
        <is>
          <t>디일렉(THE ELEC)</t>
        </is>
      </c>
    </row>
    <row r="18">
      <c r="A18" t="inlineStr">
        <is>
          <t>E-816</t>
        </is>
      </c>
      <c r="B18" t="inlineStr">
        <is>
          <t>시장보고서</t>
        </is>
      </c>
      <c r="C18" t="inlineStr">
        <is>
          <t>화학·제약 섹터 자본비용 벤치마크 (DACH 지역 실무 조사)</t>
        </is>
      </c>
      <c r="D18" t="inlineStr">
        <is>
          <t>전 섹터 평균 WACC 8.5, 범위 5.2~10.4, 화학·제약 섹터 차입베타 0.93</t>
        </is>
      </c>
      <c r="E18" t="inlineStr">
        <is>
          <t>%</t>
        </is>
      </c>
      <c r="F18" t="inlineStr">
        <is>
          <t>T2</t>
        </is>
      </c>
      <c r="G18" t="inlineStr">
        <is>
          <t>중</t>
        </is>
      </c>
      <c r="H18" t="inlineStr">
        <is>
          <t>KPMG Switzerland</t>
        </is>
      </c>
    </row>
    <row r="19">
      <c r="A19" t="inlineStr">
        <is>
          <t>E-817</t>
        </is>
      </c>
      <c r="B19" t="inlineStr">
        <is>
          <t>추정</t>
        </is>
      </c>
      <c r="C19" t="inlineStr">
        <is>
          <t>본 사업의 가중평균자본비용(WACC) — 산출값</t>
        </is>
      </c>
      <c r="D19" t="inlineStr">
        <is>
          <t>8.66</t>
        </is>
      </c>
      <c r="E19" t="inlineStr">
        <is>
          <t>%</t>
        </is>
      </c>
      <c r="F19" t="inlineStr">
        <is>
          <t>T3</t>
        </is>
      </c>
      <c r="G19" t="inlineStr">
        <is>
          <t>중</t>
        </is>
      </c>
      <c r="H19" t="inlineStr">
        <is>
          <t>OSVX Agent S</t>
        </is>
      </c>
    </row>
    <row r="20">
      <c r="A20" t="inlineStr">
        <is>
          <t>E-818</t>
        </is>
      </c>
      <c r="B20" t="inlineStr">
        <is>
          <t>추정</t>
        </is>
      </c>
      <c r="C20" t="inlineStr">
        <is>
          <t>DISC-01 재계산 확정 — G 옵션(b) 의 GM 60% 임계물량</t>
        </is>
      </c>
      <c r="D20" t="inlineStr">
        <is>
          <t>판매 289.9 L = 생산 346.7 L (블렌디드 ASP 18.53 USD/mL)</t>
        </is>
      </c>
      <c r="E20" t="inlineStr">
        <is>
          <t>L/년</t>
        </is>
      </c>
      <c r="F20" t="inlineStr">
        <is>
          <t>T3</t>
        </is>
      </c>
      <c r="G20" t="inlineStr">
        <is>
          <t>상</t>
        </is>
      </c>
      <c r="H20" t="inlineStr">
        <is>
          <t>OSVX Agent S</t>
        </is>
      </c>
    </row>
    <row r="21">
      <c r="A21" t="inlineStr">
        <is>
          <t>E-819</t>
        </is>
      </c>
      <c r="B21" t="inlineStr">
        <is>
          <t>추정</t>
        </is>
      </c>
      <c r="C21" t="inlineStr">
        <is>
          <t>침투율 로지스틱 S-curve 파라미터 — Agent D 의 전환확률·반감기에서 유도</t>
        </is>
      </c>
      <c r="D21" t="inlineStr">
        <is>
          <t>academic k=0.2456 t0=2037.2 / pharma k=0.3003 t0=2034.0 / cro k=0.1415 t0=2051.3 / clinical k=0.1600 t0=2047.3 / gmp k=0.4560 t0=2028.4</t>
        </is>
      </c>
      <c r="E21" t="inlineStr">
        <is>
          <t>1/년 · 연도</t>
        </is>
      </c>
      <c r="F21" t="inlineStr">
        <is>
          <t>T3</t>
        </is>
      </c>
      <c r="G21" t="inlineStr">
        <is>
          <t>중</t>
        </is>
      </c>
      <c r="H21" t="inlineStr">
        <is>
          <t>OSVX Agent S</t>
        </is>
      </c>
    </row>
    <row r="22">
      <c r="A22" t="inlineStr">
        <is>
          <t>E-820</t>
        </is>
      </c>
      <c r="B22" t="inlineStr">
        <is>
          <t>추정</t>
        </is>
      </c>
      <c r="C22" t="inlineStr">
        <is>
          <t>본 모델의 SOM 2030 (스코프 A, LG 자신의 가격표 기준)</t>
        </is>
      </c>
      <c r="D22" t="inlineStr">
        <is>
          <t>bear 43,182 / base 454,332 / bull 3,315,028</t>
        </is>
      </c>
      <c r="E22" t="inlineStr">
        <is>
          <t>USD</t>
        </is>
      </c>
      <c r="F22" t="inlineStr">
        <is>
          <t>T3</t>
        </is>
      </c>
      <c r="G22" t="inlineStr">
        <is>
          <t>중</t>
        </is>
      </c>
      <c r="H22" t="inlineStr">
        <is>
          <t>OSVX Agent S</t>
        </is>
      </c>
    </row>
    <row r="23">
      <c r="A23" t="inlineStr">
        <is>
          <t>E-821</t>
        </is>
      </c>
      <c r="B23" t="inlineStr">
        <is>
          <t>추정</t>
        </is>
      </c>
      <c r="C23" t="inlineStr">
        <is>
          <t>본 모델의 SAM_adjusted 2030 (로지스틱 침투율 적용)</t>
        </is>
      </c>
      <c r="D23" t="inlineStr">
        <is>
          <t>bear 1,626,575 / base 5,617,439 / bull 17,337,348</t>
        </is>
      </c>
      <c r="E23" t="inlineStr">
        <is>
          <t>USD</t>
        </is>
      </c>
      <c r="F23" t="inlineStr">
        <is>
          <t>T3</t>
        </is>
      </c>
      <c r="G23" t="inlineStr">
        <is>
          <t>중</t>
        </is>
      </c>
      <c r="H23" t="inlineStr">
        <is>
          <t>OSVX Agent S</t>
        </is>
      </c>
    </row>
    <row r="24">
      <c r="A24" t="inlineStr">
        <is>
          <t>E-822</t>
        </is>
      </c>
      <c r="B24" t="inlineStr">
        <is>
          <t>추정</t>
        </is>
      </c>
      <c r="C24" t="inlineStr">
        <is>
          <t>현 제품정의(스코프 A) 10년 NPV — 할인율 8.66%</t>
        </is>
      </c>
      <c r="D24" t="inlineStr">
        <is>
          <t>bear −13,764,930 / base −14,069,419 / bull +27,067,855 (잔존가치 제외 시 bull −4,743,871)</t>
        </is>
      </c>
      <c r="E24" t="inlineStr">
        <is>
          <t>USD</t>
        </is>
      </c>
      <c r="F24" t="inlineStr">
        <is>
          <t>T3</t>
        </is>
      </c>
      <c r="G24" t="inlineStr">
        <is>
          <t>중</t>
        </is>
      </c>
      <c r="H24" t="inlineStr">
        <is>
          <t>OSVX Agent S</t>
        </is>
      </c>
    </row>
    <row r="25">
      <c r="A25" t="inlineStr">
        <is>
          <t>E-823</t>
        </is>
      </c>
      <c r="B25" t="inlineStr">
        <is>
          <t>추정</t>
        </is>
      </c>
      <c r="C25" t="inlineStr">
        <is>
          <t>확률가중 기대 NPV — 스코프 A / 스코프 B</t>
        </is>
      </c>
      <c r="D25" t="inlineStr">
        <is>
          <t>스코프 A −8,965,477 (잔존가치 제외 −12,782,884) / 스코프 B +2,445,085 (잔존가치 제외 −14,689,491)</t>
        </is>
      </c>
      <c r="E25" t="inlineStr">
        <is>
          <t>USD</t>
        </is>
      </c>
      <c r="F25" t="inlineStr">
        <is>
          <t>T3</t>
        </is>
      </c>
      <c r="G25" t="inlineStr">
        <is>
          <t>중</t>
        </is>
      </c>
      <c r="H25" t="inlineStr">
        <is>
          <t>OSVX Agent S</t>
        </is>
      </c>
    </row>
    <row r="26">
      <c r="A26" t="inlineStr">
        <is>
          <t>E-824</t>
        </is>
      </c>
      <c r="B26" t="inlineStr">
        <is>
          <t>추정</t>
        </is>
      </c>
      <c r="C26" t="inlineStr">
        <is>
          <t>GM 60% 임계 판매물량 — ASP 의 함수 (Agent X [E-748] 재현)</t>
        </is>
      </c>
      <c r="D26" t="inlineStr">
        <is>
          <t>ASP 32.00 → 160.3 / 30.29 → 170.0 / 24.93 → 209.5 / 19.39 → 275.7 / 18.53 → 289.9 / 16.59 → 328.1</t>
        </is>
      </c>
      <c r="E26" t="inlineStr">
        <is>
          <t>판매 L/년</t>
        </is>
      </c>
      <c r="F26" t="inlineStr">
        <is>
          <t>T3</t>
        </is>
      </c>
      <c r="G26" t="inlineStr">
        <is>
          <t>상</t>
        </is>
      </c>
      <c r="H26" t="inlineStr">
        <is>
          <t>OSVX Agent S</t>
        </is>
      </c>
    </row>
    <row r="27">
      <c r="A27" t="inlineStr">
        <is>
          <t>E-825</t>
        </is>
      </c>
      <c r="B27" t="inlineStr">
        <is>
          <t>추정</t>
        </is>
      </c>
      <c r="C27" t="inlineStr">
        <is>
          <t>손익분기 판매물량 (BEP)</t>
        </is>
      </c>
      <c r="D27" t="inlineStr">
        <is>
          <t>ASP 32.00 → 61.8 / 24.93 → 79.9 / 19.39 → 103.7</t>
        </is>
      </c>
      <c r="E27" t="inlineStr">
        <is>
          <t>판매 L/년</t>
        </is>
      </c>
      <c r="F27" t="inlineStr">
        <is>
          <t>T3</t>
        </is>
      </c>
      <c r="G27" t="inlineStr">
        <is>
          <t>상</t>
        </is>
      </c>
      <c r="H27" t="inlineStr">
        <is>
          <t>OSVX Agent S</t>
        </is>
      </c>
    </row>
    <row r="28">
      <c r="A28" t="inlineStr">
        <is>
          <t>E-826</t>
        </is>
      </c>
      <c r="B28" t="inlineStr">
        <is>
          <t>추정</t>
        </is>
      </c>
      <c r="C28" t="inlineStr">
        <is>
          <t>본 모델의 기준 판매가(ASP) 유도</t>
        </is>
      </c>
      <c r="D28" t="inlineStr">
        <is>
          <t>base 24.93 / bear 19.39 / bull 32.00</t>
        </is>
      </c>
      <c r="E28" t="inlineStr">
        <is>
          <t>USD/mL</t>
        </is>
      </c>
      <c r="F28" t="inlineStr">
        <is>
          <t>T3</t>
        </is>
      </c>
      <c r="G28" t="inlineStr">
        <is>
          <t>중</t>
        </is>
      </c>
      <c r="H28" t="inlineStr">
        <is>
          <t>OSVX Agent S</t>
        </is>
      </c>
    </row>
    <row r="29">
      <c r="A29" t="inlineStr">
        <is>
          <t>E-827</t>
        </is>
      </c>
      <c r="B29" t="inlineStr">
        <is>
          <t>추정</t>
        </is>
      </c>
      <c r="C29" t="inlineStr">
        <is>
          <t>Kill Criteria 발동 시 중단 옵션가치 (스코프 A base 대비)</t>
        </is>
      </c>
      <c r="D29" t="inlineStr">
        <is>
          <t>KC-1 12,213,558 / KC-3 11,567,704 / KC-5 10,494,338 / KC-4 889,663</t>
        </is>
      </c>
      <c r="E29" t="inlineStr">
        <is>
          <t>USD</t>
        </is>
      </c>
      <c r="F29" t="inlineStr">
        <is>
          <t>T3</t>
        </is>
      </c>
      <c r="G29" t="inlineStr">
        <is>
          <t>중</t>
        </is>
      </c>
      <c r="H29" t="inlineStr">
        <is>
          <t>OSVX Agent S</t>
        </is>
      </c>
    </row>
    <row r="30">
      <c r="A30" t="inlineStr">
        <is>
          <t>E-828</t>
        </is>
      </c>
      <c r="B30" t="inlineStr">
        <is>
          <t>공시</t>
        </is>
      </c>
      <c r="C30" t="inlineStr">
        <is>
          <t>LG화학 부채비율 (자본구조 참고치)</t>
        </is>
      </c>
      <c r="D30" t="inlineStr">
        <is>
          <t>72.66</t>
        </is>
      </c>
      <c r="E30" t="inlineStr">
        <is>
          <t>% (total debt to equity)</t>
        </is>
      </c>
      <c r="F30" t="inlineStr">
        <is>
          <t>T2</t>
        </is>
      </c>
      <c r="G30" t="inlineStr">
        <is>
          <t>중</t>
        </is>
      </c>
      <c r="H30" t="inlineStr">
        <is>
          <t>CompaniesMarketCap</t>
        </is>
      </c>
    </row>
    <row r="31">
      <c r="A31" t="inlineStr">
        <is>
          <t>E-829</t>
        </is>
      </c>
      <c r="B31" t="inlineStr">
        <is>
          <t>시장보고서</t>
        </is>
      </c>
      <c r="C31" t="inlineStr">
        <is>
          <t>한국 국고채 10년 금리 전망 (할인율 민감도 근거)</t>
        </is>
      </c>
      <c r="D31" t="inlineStr">
        <is>
          <t>Q3 2026 4.16 / 12개월 3.93</t>
        </is>
      </c>
      <c r="E31" t="inlineStr">
        <is>
          <t>%</t>
        </is>
      </c>
      <c r="F31" t="inlineStr">
        <is>
          <t>T2</t>
        </is>
      </c>
      <c r="G31" t="inlineStr">
        <is>
          <t>중</t>
        </is>
      </c>
      <c r="H31" t="inlineStr">
        <is>
          <t>Trading Economics</t>
        </is>
      </c>
    </row>
    <row r="32">
      <c r="A32" t="inlineStr">
        <is>
          <t>E-830</t>
        </is>
      </c>
      <c r="B32" t="inlineStr">
        <is>
          <t>시장보고서</t>
        </is>
      </c>
      <c r="C32" t="inlineStr">
        <is>
          <t>비교 기업 WACC 벤치마크 (라이프사이언스 툴)</t>
        </is>
      </c>
      <c r="D32" t="inlineStr">
        <is>
          <t>Bio-Techne 8.55~8.60 / Corning 8.24~8.80</t>
        </is>
      </c>
      <c r="E32" t="inlineStr">
        <is>
          <t>%</t>
        </is>
      </c>
      <c r="F32" t="inlineStr">
        <is>
          <t>T3</t>
        </is>
      </c>
      <c r="G32" t="inlineStr">
        <is>
          <t>중</t>
        </is>
      </c>
      <c r="H32" t="inlineStr">
        <is>
          <t>valueinvesting.io / Alpha Spread</t>
        </is>
      </c>
    </row>
    <row r="33">
      <c r="A33" t="inlineStr">
        <is>
          <t>E-831</t>
        </is>
      </c>
      <c r="B33" t="inlineStr">
        <is>
          <t>추정</t>
        </is>
      </c>
      <c r="C33" t="inlineStr">
        <is>
          <t>대안 스코프 옵션(e) GMP 원부자재 재계산 — Payback</t>
        </is>
      </c>
      <c r="D33" t="inlineStr">
        <is>
          <t>3.57년 → 5.71년</t>
        </is>
      </c>
      <c r="E33" t="inlineStr">
        <is>
          <t>년</t>
        </is>
      </c>
      <c r="F33" t="inlineStr">
        <is>
          <t>T3</t>
        </is>
      </c>
      <c r="G33" t="inlineStr">
        <is>
          <t>중</t>
        </is>
      </c>
      <c r="H33" t="inlineStr">
        <is>
          <t>OSVX Agent S</t>
        </is>
      </c>
    </row>
    <row r="34">
      <c r="A34" t="inlineStr">
        <is>
          <t>E-832</t>
        </is>
      </c>
      <c r="B34" t="inlineStr">
        <is>
          <t>추정</t>
        </is>
      </c>
      <c r="C34" t="inlineStr">
        <is>
          <t>대안 스코프 옵션(d) 라이선싱 재계산 — 순현재가치</t>
        </is>
      </c>
      <c r="D34" t="inlineStr">
        <is>
          <t>+0.1 ~ +0.6 M USD (Agent G) → +0.0 ~ +0.4 M USD (S 재계산)</t>
        </is>
      </c>
      <c r="E34" t="inlineStr">
        <is>
          <t>M USD</t>
        </is>
      </c>
      <c r="F34" t="inlineStr">
        <is>
          <t>T3</t>
        </is>
      </c>
      <c r="G34" t="inlineStr">
        <is>
          <t>중</t>
        </is>
      </c>
      <c r="H34" t="inlineStr">
        <is>
          <t>OSVX Agent S</t>
        </is>
      </c>
    </row>
    <row r="35">
      <c r="A35" t="inlineStr">
        <is>
          <t>E-833</t>
        </is>
      </c>
      <c r="B35" t="inlineStr">
        <is>
          <t>추정</t>
        </is>
      </c>
      <c r="C35" t="inlineStr">
        <is>
          <t>Agent E 원가함수의 규모 티어 파라미터 (본 모델 입력)</t>
        </is>
      </c>
      <c r="D35" t="inlineStr">
        <is>
          <t>티어1 375,000 / 티어10 934,215 / 티어100 1,932,700 / 티어1000 4,082,150 USD-year, 판매 mL당 변동비 9.4851 / 2.1247 / 0.7447 / 0.3767</t>
        </is>
      </c>
      <c r="E35" t="inlineStr">
        <is>
          <t>USD/년, USD/mL</t>
        </is>
      </c>
      <c r="F35" t="inlineStr">
        <is>
          <t>T3</t>
        </is>
      </c>
      <c r="G35" t="inlineStr">
        <is>
          <t>상</t>
        </is>
      </c>
      <c r="H35" t="inlineStr">
        <is>
          <t>OSVX Agent S / Agent E</t>
        </is>
      </c>
    </row>
    <row r="36">
      <c r="A36" t="inlineStr">
        <is>
          <t>E-834</t>
        </is>
      </c>
      <c r="B36" t="inlineStr">
        <is>
          <t>추정</t>
        </is>
      </c>
      <c r="C36" t="inlineStr">
        <is>
          <t>Agent R 근거품질 게이트 FAIL 2항목 — 본 모델 서술 완화 대상</t>
        </is>
      </c>
      <c r="D36" t="inlineStr">
        <is>
          <t>시장규모 T1 39.4% (하 29.6%) / COGS·GM T1 37.1% (하 24.3%)</t>
        </is>
      </c>
      <c r="E36" t="inlineStr">
        <is>
          <t>%</t>
        </is>
      </c>
      <c r="F36" t="inlineStr">
        <is>
          <t>T3</t>
        </is>
      </c>
      <c r="G36" t="inlineStr">
        <is>
          <t>상</t>
        </is>
      </c>
      <c r="H36" t="inlineStr">
        <is>
          <t>OSVX Agent R</t>
        </is>
      </c>
    </row>
    <row r="37">
      <c r="A37" t="inlineStr">
        <is>
          <t>E-835</t>
        </is>
      </c>
      <c r="B37" t="inlineStr">
        <is>
          <t>추정</t>
        </is>
      </c>
      <c r="C37" t="inlineStr">
        <is>
          <t>스코프 B(옵션 b 제품정의 확장) 10년 NPV</t>
        </is>
      </c>
      <c r="D37" t="inlineStr">
        <is>
          <t>bear −20,975,651 / base +5,108,290 (잔존가치 제외 −12,718,425) / bull +102,466,311 (잔존가치 제외 +8,701,646)</t>
        </is>
      </c>
      <c r="E37" t="inlineStr">
        <is>
          <t>USD</t>
        </is>
      </c>
      <c r="F37" t="inlineStr">
        <is>
          <t>T3</t>
        </is>
      </c>
      <c r="G37" t="inlineStr">
        <is>
          <t>하</t>
        </is>
      </c>
      <c r="H37" t="inlineStr">
        <is>
          <t>OSVX Agent S</t>
        </is>
      </c>
    </row>
    <row r="38">
      <c r="A38" t="inlineStr">
        <is>
          <t>E-836</t>
        </is>
      </c>
      <c r="B38" t="inlineStr">
        <is>
          <t>추정</t>
        </is>
      </c>
      <c r="C38" t="inlineStr">
        <is>
          <t>현 제품정의의 GM 60% 게이트 도달 필요 물량 대비 실제 물량 비율</t>
        </is>
      </c>
      <c r="D38" t="inlineStr">
        <is>
          <t>base 2030 판매 19.76 L / 임계 209.5 L = 9.4%, 2035 판매 84.86 L / 임계 209.5 L = 40.5%</t>
        </is>
      </c>
      <c r="E38" t="inlineStr">
        <is>
          <t>%</t>
        </is>
      </c>
      <c r="F38" t="inlineStr">
        <is>
          <t>T3</t>
        </is>
      </c>
      <c r="G38" t="inlineStr">
        <is>
          <t>중</t>
        </is>
      </c>
      <c r="H38" t="inlineStr">
        <is>
          <t>OSVX Agent S</t>
        </is>
      </c>
    </row>
    <row r="39">
      <c r="A39" t="inlineStr">
        <is>
          <t>E-837</t>
        </is>
      </c>
      <c r="B39" t="inlineStr">
        <is>
          <t>추정</t>
        </is>
      </c>
      <c r="C39" t="inlineStr">
        <is>
          <t>Agent F 회피규격 위반이 제품 SKU 에 미치는 영향 (V-06 반영)</t>
        </is>
      </c>
      <c r="D39" t="inlineStr">
        <is>
          <t>OM-S(콜라겐 3 mg/mL, G' 100 Pa~1.5 kPa) 및 강스템 공동개발 SKU(G' 100~500 Pa, 한국) 판매 불가</t>
        </is>
      </c>
      <c r="E39" t="inlineStr">
        <is>
          <t>—</t>
        </is>
      </c>
      <c r="F39" t="inlineStr">
        <is>
          <t>T3</t>
        </is>
      </c>
      <c r="G39" t="inlineStr">
        <is>
          <t>상</t>
        </is>
      </c>
      <c r="H39" t="inlineStr">
        <is>
          <t>OSVX Agent S</t>
        </is>
      </c>
    </row>
    <row r="40">
      <c r="A40" t="inlineStr">
        <is>
          <t>E-838</t>
        </is>
      </c>
      <c r="B40" t="inlineStr">
        <is>
          <t>추정</t>
        </is>
      </c>
      <c r="C40" t="inlineStr">
        <is>
          <t>규모티어 전환 구간의 총이익률 붕괴 (본 모델의 구조적 발견)</t>
        </is>
      </c>
      <c r="D40" t="inlineStr">
        <is>
          <t>base 2034 판매 65.60 L GM +22.8% → 2035 판매 84.86 L GM −13.2%</t>
        </is>
      </c>
      <c r="E40" t="inlineStr">
        <is>
          <t>%</t>
        </is>
      </c>
      <c r="F40" t="inlineStr">
        <is>
          <t>T3</t>
        </is>
      </c>
      <c r="G40" t="inlineStr">
        <is>
          <t>중</t>
        </is>
      </c>
      <c r="H40" t="inlineStr">
        <is>
          <t>OSVX Agent S</t>
        </is>
      </c>
    </row>
    <row r="42">
      <c r="A42" s="2" t="inlineStr">
        <is>
          <t>※ 인용한 선행 에이전트 근거 (신규 생성 아님)</t>
        </is>
      </c>
    </row>
    <row r="43">
      <c r="A43" s="4" t="inlineStr">
        <is>
          <t>인용 ID</t>
        </is>
      </c>
      <c r="B43" s="4" t="inlineStr">
        <is>
          <t>생성 Agent</t>
        </is>
      </c>
      <c r="C43" s="4" t="inlineStr">
        <is>
          <t>요지</t>
        </is>
      </c>
    </row>
    <row r="44">
      <c r="A44" t="inlineStr">
        <is>
          <t>E-078</t>
        </is>
      </c>
      <c r="B44" t="inlineStr">
        <is>
          <t>B</t>
        </is>
      </c>
      <c r="C44" t="inlineStr">
        <is>
          <t>nam_ramp base 2026 8% → 2030 25% → 2035 45%</t>
        </is>
      </c>
    </row>
    <row r="45">
      <c r="A45" t="inlineStr">
        <is>
          <t>E-102</t>
        </is>
      </c>
      <c r="B45" t="inlineStr">
        <is>
          <t>C</t>
        </is>
      </c>
      <c r="C45" t="inlineStr">
        <is>
          <t>Corning 356255 오가노이드 SKU 447.60 USD / 10 mL (제조사 직판)</t>
        </is>
      </c>
    </row>
    <row r="46">
      <c r="A46" t="inlineStr">
        <is>
          <t>E-125</t>
        </is>
      </c>
      <c r="B46" t="inlineStr">
        <is>
          <t>C</t>
        </is>
      </c>
      <c r="C46" t="inlineStr">
        <is>
          <t>Yeasen Ceturegel 21.30 USD/mL (중국 로컬 하한)</t>
        </is>
      </c>
    </row>
    <row r="47">
      <c r="A47" t="inlineStr">
        <is>
          <t>E-146</t>
        </is>
      </c>
      <c r="B47" t="inlineStr">
        <is>
          <t>C</t>
        </is>
      </c>
      <c r="C47" t="inlineStr">
        <is>
          <t>환율 KRW 1,409.94 / CNY 6.7474 / JPY 157.54 per USD</t>
        </is>
      </c>
    </row>
    <row r="48">
      <c r="A48" t="inlineStr">
        <is>
          <t>E-152</t>
        </is>
      </c>
      <c r="B48" t="inlineStr">
        <is>
          <t>C</t>
        </is>
      </c>
      <c r="C48" t="inlineStr">
        <is>
          <t>defined 대체재 7종 20년 누적 인용 점유 1.95%</t>
        </is>
      </c>
    </row>
    <row r="49">
      <c r="A49" t="inlineStr">
        <is>
          <t>E-155</t>
        </is>
      </c>
      <c r="B49" t="inlineStr">
        <is>
          <t>C</t>
        </is>
      </c>
      <c r="C49" t="inlineStr">
        <is>
          <t>Advanced BioMatrix TeloCol-6 11.64 USD/mL</t>
        </is>
      </c>
    </row>
    <row r="50">
      <c r="A50" t="inlineStr">
        <is>
          <t>E-161</t>
        </is>
      </c>
      <c r="B50" t="inlineStr">
        <is>
          <t>C</t>
        </is>
      </c>
      <c r="C50" t="inlineStr">
        <is>
          <t>정의성 프리미엄 Mann-Whitney p=0.168 — 통계적 유의성 없음</t>
        </is>
      </c>
    </row>
    <row r="51">
      <c r="A51" t="inlineStr">
        <is>
          <t>E-228</t>
        </is>
      </c>
      <c r="B51" t="inlineStr">
        <is>
          <t>D</t>
        </is>
      </c>
      <c r="C51" t="inlineStr">
        <is>
          <t>콜라겐 I 이 Matrigel 의 1/10 가격에 유전자발현 동등, 그럼에도 미전환</t>
        </is>
      </c>
    </row>
    <row r="52">
      <c r="A52" t="inlineStr">
        <is>
          <t>E-231</t>
        </is>
      </c>
      <c r="B52" t="inlineStr">
        <is>
          <t>D</t>
        </is>
      </c>
      <c r="C52" t="inlineStr">
        <is>
          <t>2025년 최초 라미닌 무첨가 완전합성 하이드로겔 crypt 형성</t>
        </is>
      </c>
    </row>
    <row r="53">
      <c r="A53" t="inlineStr">
        <is>
          <t>E-239</t>
        </is>
      </c>
      <c r="B53" t="inlineStr">
        <is>
          <t>D</t>
        </is>
      </c>
      <c r="C53" t="inlineStr">
        <is>
          <t>대체재 검증의 기준점이 거의 항상 Matrigel — 대조군 구매 지속</t>
        </is>
      </c>
    </row>
    <row r="54">
      <c r="A54" t="inlineStr">
        <is>
          <t>E-263</t>
        </is>
      </c>
      <c r="B54" t="inlineStr">
        <is>
          <t>D</t>
        </is>
      </c>
      <c r="C54" t="inlineStr">
        <is>
          <t>세그먼트별 연간 전환확률 6.0 / 8.3 / 2.7 / 3.2 / 25.0 %</t>
        </is>
      </c>
    </row>
    <row r="55">
      <c r="A55" t="inlineStr">
        <is>
          <t>E-334</t>
        </is>
      </c>
      <c r="B55" t="inlineStr">
        <is>
          <t>A</t>
        </is>
      </c>
      <c r="C55" t="inlineStr">
        <is>
          <t>Bottom-up TAM 2025 = 42.97 M USD / 1,178.7 L</t>
        </is>
      </c>
    </row>
    <row r="56">
      <c r="A56" t="inlineStr">
        <is>
          <t>E-335</t>
        </is>
      </c>
      <c r="B56" t="inlineStr">
        <is>
          <t>A</t>
        </is>
      </c>
      <c r="C56" t="inlineStr">
        <is>
          <t>전 용도 3D 매트릭스 2025 = 117.2 M USD → 비오가노이드 74.2 M</t>
        </is>
      </c>
    </row>
    <row r="57">
      <c r="A57" t="inlineStr">
        <is>
          <t>E-342</t>
        </is>
      </c>
      <c r="B57" t="inlineStr">
        <is>
          <t>A</t>
        </is>
      </c>
      <c r="C57" t="inlineStr">
        <is>
          <t>TAM_addressable 2030 = 50.49 M USD / 1,521.7 L</t>
        </is>
      </c>
    </row>
    <row r="58">
      <c r="A58" t="inlineStr">
        <is>
          <t>E-407</t>
        </is>
      </c>
      <c r="B58" t="inlineStr">
        <is>
          <t>E</t>
        </is>
      </c>
      <c r="C58" t="inlineStr">
        <is>
          <t>Zedira mTG 카탈로그 260,077 USD/g — 내재화 미실행 시 GM −48.5%p</t>
        </is>
      </c>
    </row>
    <row r="59">
      <c r="A59" t="inlineStr">
        <is>
          <t>E-412</t>
        </is>
      </c>
      <c r="B59" t="inlineStr">
        <is>
          <t>E</t>
        </is>
      </c>
      <c r="C59" t="inlineStr">
        <is>
          <t>라미닌 최저 카탈로그 463.81 USD/mg → ΔCOGS +110.96 USD/mL</t>
        </is>
      </c>
    </row>
    <row r="60">
      <c r="A60" t="inlineStr">
        <is>
          <t>E-553</t>
        </is>
      </c>
      <c r="B60" t="inlineStr">
        <is>
          <t>F</t>
        </is>
      </c>
      <c r="C60" t="inlineStr">
        <is>
          <t>청구항에 organoid ∧ transglutaminase 동시 포함 = 0건</t>
        </is>
      </c>
    </row>
    <row r="61">
      <c r="A61" t="inlineStr">
        <is>
          <t>E-568</t>
        </is>
      </c>
      <c r="B61" t="inlineStr">
        <is>
          <t>F</t>
        </is>
      </c>
      <c r="C61" t="inlineStr">
        <is>
          <t>LifeBond 2027-12-17 만료 / EPFL 2036-09-05 만료</t>
        </is>
      </c>
    </row>
    <row r="62">
      <c r="A62" t="inlineStr">
        <is>
          <t>E-646</t>
        </is>
      </c>
      <c r="B62" t="inlineStr">
        <is>
          <t>G</t>
        </is>
      </c>
      <c r="C62" t="inlineStr">
        <is>
          <t>콜라겐+젤라틴 바이오잉크 2025 = 48.2 M USD</t>
        </is>
      </c>
    </row>
    <row r="63">
      <c r="A63" t="inlineStr">
        <is>
          <t>E-656</t>
        </is>
      </c>
      <c r="B63" t="inlineStr">
        <is>
          <t>G</t>
        </is>
      </c>
      <c r="C63" t="inlineStr">
        <is>
          <t>실명 앵커 30곳 물량 합계 11.222 L/년 = 게이트의 5.85%</t>
        </is>
      </c>
    </row>
    <row r="64">
      <c r="A64" t="inlineStr">
        <is>
          <t>E-657</t>
        </is>
      </c>
      <c r="B64" t="inlineStr">
        <is>
          <t>G</t>
        </is>
      </c>
      <c r="C64" t="inlineStr">
        <is>
          <t>학술 랩 전환비용 상쇄에 필요한 할인율 302.0%</t>
        </is>
      </c>
    </row>
    <row r="65">
      <c r="A65" t="inlineStr">
        <is>
          <t>E-709</t>
        </is>
      </c>
      <c r="B65" t="inlineStr">
        <is>
          <t>X</t>
        </is>
      </c>
      <c r="C65" t="inlineStr">
        <is>
          <t>PubMed 실측: Matrigel 15,004 / Col-Tgel 11 / Synthegel 1</t>
        </is>
      </c>
    </row>
    <row r="66">
      <c r="A66" t="inlineStr">
        <is>
          <t>E-723</t>
        </is>
      </c>
      <c r="B66" t="inlineStr">
        <is>
          <t>X</t>
        </is>
      </c>
      <c r="C66" t="inlineStr">
        <is>
          <t>mTG 는 변성 조건에서만 콜라겐을 가교 — 천연 삼중나선 Gln 접근 불가</t>
        </is>
      </c>
    </row>
    <row r="67">
      <c r="A67" t="inlineStr">
        <is>
          <t>E-741</t>
        </is>
      </c>
      <c r="B67" t="inlineStr">
        <is>
          <t>X</t>
        </is>
      </c>
      <c r="C67" t="inlineStr">
        <is>
          <t>FAS 제약·바이오 중앙값 총보상 152,625 USD</t>
        </is>
      </c>
    </row>
    <row r="68">
      <c r="A68" t="inlineStr">
        <is>
          <t>E-748</t>
        </is>
      </c>
      <c r="B68" t="inlineStr">
        <is>
          <t>X</t>
        </is>
      </c>
      <c r="C68" t="inlineStr">
        <is>
          <t>GM60 임계물량은 ASP 의 함수 — 191.8 L 은 ASP 32.00 전용값</t>
        </is>
      </c>
    </row>
    <row r="69">
      <c r="A69" t="inlineStr">
        <is>
          <t>E-103-R</t>
        </is>
      </c>
      <c r="B69" t="inlineStr">
        <is>
          <t>R</t>
        </is>
      </c>
      <c r="C69" t="inlineStr">
        <is>
          <t>Fisher 356255 = 756.50 USD → 유통마진 69.0% (35.9% 는 격리)</t>
        </is>
      </c>
    </row>
    <row r="70">
      <c r="A70" t="inlineStr">
        <is>
          <t>E-424-R</t>
        </is>
      </c>
      <c r="B70" t="inlineStr">
        <is>
          <t>R</t>
        </is>
      </c>
      <c r="C70" t="inlineStr">
        <is>
          <t>Pichia 재조합 콜라겐 실측 titer 1.05 g/L (E 의 12~16 g/L 대체)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2026-08-11T09:46:33Z</dcterms:created>
  <dcterms:modified xmlns:dcterms="http://purl.org/dc/terms/" xmlns:xsi="http://www.w3.org/2001/XMLSchema-instance" xsi:type="dcterms:W3CDTF">2026-08-11T09:46:33Z</dcterms:modified>
</cp:coreProperties>
</file>